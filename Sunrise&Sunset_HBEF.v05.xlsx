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HB_2024_SoundFiles\2024\"/>
    </mc:Choice>
  </mc:AlternateContent>
  <xr:revisionPtr revIDLastSave="0" documentId="13_ncr:1_{C2B1C725-2305-400E-B46F-021853C682FF}" xr6:coauthVersionLast="47" xr6:coauthVersionMax="47" xr10:uidLastSave="{00000000-0000-0000-0000-000000000000}"/>
  <bookViews>
    <workbookView xWindow="19950" yWindow="750" windowWidth="19270" windowHeight="17420" activeTab="2" xr2:uid="{00000000-000D-0000-FFFF-FFFF00000000}"/>
  </bookViews>
  <sheets>
    <sheet name="raw.Plymouth" sheetId="7" r:id="rId1"/>
    <sheet name="calc.Plym" sheetId="8" r:id="rId2"/>
    <sheet name="daylength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9" l="1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2" i="9"/>
  <c r="L3" i="9"/>
  <c r="L4" i="9"/>
  <c r="L5" i="9"/>
  <c r="L6" i="9"/>
  <c r="L7" i="9"/>
  <c r="L8" i="9"/>
  <c r="M8" i="9" s="1"/>
  <c r="L9" i="9"/>
  <c r="M9" i="9" s="1"/>
  <c r="L10" i="9"/>
  <c r="L11" i="9"/>
  <c r="L12" i="9"/>
  <c r="L13" i="9"/>
  <c r="L14" i="9"/>
  <c r="L15" i="9"/>
  <c r="L16" i="9"/>
  <c r="M16" i="9" s="1"/>
  <c r="L17" i="9"/>
  <c r="M17" i="9" s="1"/>
  <c r="L18" i="9"/>
  <c r="L19" i="9"/>
  <c r="L20" i="9"/>
  <c r="L21" i="9"/>
  <c r="L22" i="9"/>
  <c r="L23" i="9"/>
  <c r="L24" i="9"/>
  <c r="M24" i="9" s="1"/>
  <c r="L25" i="9"/>
  <c r="M25" i="9" s="1"/>
  <c r="L26" i="9"/>
  <c r="L27" i="9"/>
  <c r="L28" i="9"/>
  <c r="L29" i="9"/>
  <c r="L30" i="9"/>
  <c r="L31" i="9"/>
  <c r="L32" i="9"/>
  <c r="M32" i="9" s="1"/>
  <c r="L33" i="9"/>
  <c r="M33" i="9" s="1"/>
  <c r="L34" i="9"/>
  <c r="L35" i="9"/>
  <c r="L36" i="9"/>
  <c r="L37" i="9"/>
  <c r="L38" i="9"/>
  <c r="L39" i="9"/>
  <c r="L40" i="9"/>
  <c r="M40" i="9" s="1"/>
  <c r="L41" i="9"/>
  <c r="M41" i="9" s="1"/>
  <c r="L42" i="9"/>
  <c r="L43" i="9"/>
  <c r="L44" i="9"/>
  <c r="L45" i="9"/>
  <c r="L46" i="9"/>
  <c r="L47" i="9"/>
  <c r="L48" i="9"/>
  <c r="M48" i="9" s="1"/>
  <c r="L49" i="9"/>
  <c r="M49" i="9" s="1"/>
  <c r="L50" i="9"/>
  <c r="L51" i="9"/>
  <c r="L52" i="9"/>
  <c r="L53" i="9"/>
  <c r="L54" i="9"/>
  <c r="L55" i="9"/>
  <c r="L56" i="9"/>
  <c r="L57" i="9"/>
  <c r="M57" i="9" s="1"/>
  <c r="L58" i="9"/>
  <c r="L59" i="9"/>
  <c r="L60" i="9"/>
  <c r="L61" i="9"/>
  <c r="L62" i="9"/>
  <c r="L63" i="9"/>
  <c r="L64" i="9"/>
  <c r="M64" i="9" s="1"/>
  <c r="L65" i="9"/>
  <c r="M65" i="9" s="1"/>
  <c r="L66" i="9"/>
  <c r="L67" i="9"/>
  <c r="L68" i="9"/>
  <c r="L69" i="9"/>
  <c r="L70" i="9"/>
  <c r="L71" i="9"/>
  <c r="L72" i="9"/>
  <c r="M72" i="9" s="1"/>
  <c r="L73" i="9"/>
  <c r="M73" i="9" s="1"/>
  <c r="L74" i="9"/>
  <c r="L75" i="9"/>
  <c r="L76" i="9"/>
  <c r="L77" i="9"/>
  <c r="L78" i="9"/>
  <c r="L79" i="9"/>
  <c r="L80" i="9"/>
  <c r="M80" i="9" s="1"/>
  <c r="L81" i="9"/>
  <c r="M81" i="9" s="1"/>
  <c r="L82" i="9"/>
  <c r="L83" i="9"/>
  <c r="L84" i="9"/>
  <c r="L85" i="9"/>
  <c r="L86" i="9"/>
  <c r="L87" i="9"/>
  <c r="L88" i="9"/>
  <c r="M88" i="9" s="1"/>
  <c r="L89" i="9"/>
  <c r="M89" i="9" s="1"/>
  <c r="L90" i="9"/>
  <c r="L91" i="9"/>
  <c r="L92" i="9"/>
  <c r="L93" i="9"/>
  <c r="L94" i="9"/>
  <c r="L95" i="9"/>
  <c r="L96" i="9"/>
  <c r="M96" i="9" s="1"/>
  <c r="L97" i="9"/>
  <c r="M97" i="9" s="1"/>
  <c r="L98" i="9"/>
  <c r="L99" i="9"/>
  <c r="L100" i="9"/>
  <c r="L101" i="9"/>
  <c r="L102" i="9"/>
  <c r="L103" i="9"/>
  <c r="L104" i="9"/>
  <c r="M104" i="9" s="1"/>
  <c r="L105" i="9"/>
  <c r="M105" i="9" s="1"/>
  <c r="L106" i="9"/>
  <c r="L107" i="9"/>
  <c r="L108" i="9"/>
  <c r="L109" i="9"/>
  <c r="L110" i="9"/>
  <c r="L111" i="9"/>
  <c r="L112" i="9"/>
  <c r="M112" i="9" s="1"/>
  <c r="L113" i="9"/>
  <c r="M113" i="9" s="1"/>
  <c r="L114" i="9"/>
  <c r="L115" i="9"/>
  <c r="L116" i="9"/>
  <c r="L117" i="9"/>
  <c r="L118" i="9"/>
  <c r="L119" i="9"/>
  <c r="L120" i="9"/>
  <c r="L121" i="9"/>
  <c r="M121" i="9" s="1"/>
  <c r="L122" i="9"/>
  <c r="L123" i="9"/>
  <c r="L124" i="9"/>
  <c r="L125" i="9"/>
  <c r="L126" i="9"/>
  <c r="L127" i="9"/>
  <c r="L128" i="9"/>
  <c r="M128" i="9" s="1"/>
  <c r="L129" i="9"/>
  <c r="M129" i="9" s="1"/>
  <c r="L130" i="9"/>
  <c r="L131" i="9"/>
  <c r="L132" i="9"/>
  <c r="L133" i="9"/>
  <c r="L134" i="9"/>
  <c r="L135" i="9"/>
  <c r="L136" i="9"/>
  <c r="M136" i="9" s="1"/>
  <c r="L137" i="9"/>
  <c r="M137" i="9" s="1"/>
  <c r="L138" i="9"/>
  <c r="L139" i="9"/>
  <c r="L140" i="9"/>
  <c r="L141" i="9"/>
  <c r="L142" i="9"/>
  <c r="L143" i="9"/>
  <c r="L144" i="9"/>
  <c r="M144" i="9" s="1"/>
  <c r="L145" i="9"/>
  <c r="M145" i="9" s="1"/>
  <c r="L146" i="9"/>
  <c r="L147" i="9"/>
  <c r="L148" i="9"/>
  <c r="L149" i="9"/>
  <c r="L150" i="9"/>
  <c r="L151" i="9"/>
  <c r="L152" i="9"/>
  <c r="M152" i="9" s="1"/>
  <c r="L153" i="9"/>
  <c r="M153" i="9" s="1"/>
  <c r="L154" i="9"/>
  <c r="L155" i="9"/>
  <c r="L156" i="9"/>
  <c r="L157" i="9"/>
  <c r="L158" i="9"/>
  <c r="L159" i="9"/>
  <c r="L160" i="9"/>
  <c r="M160" i="9" s="1"/>
  <c r="L161" i="9"/>
  <c r="M161" i="9" s="1"/>
  <c r="L162" i="9"/>
  <c r="L163" i="9"/>
  <c r="L164" i="9"/>
  <c r="L165" i="9"/>
  <c r="L166" i="9"/>
  <c r="L167" i="9"/>
  <c r="L168" i="9"/>
  <c r="M168" i="9" s="1"/>
  <c r="L169" i="9"/>
  <c r="M169" i="9" s="1"/>
  <c r="L170" i="9"/>
  <c r="L171" i="9"/>
  <c r="L172" i="9"/>
  <c r="L173" i="9"/>
  <c r="L174" i="9"/>
  <c r="L175" i="9"/>
  <c r="L176" i="9"/>
  <c r="M176" i="9" s="1"/>
  <c r="L177" i="9"/>
  <c r="M177" i="9" s="1"/>
  <c r="L178" i="9"/>
  <c r="L179" i="9"/>
  <c r="L180" i="9"/>
  <c r="L181" i="9"/>
  <c r="L182" i="9"/>
  <c r="L183" i="9"/>
  <c r="L184" i="9"/>
  <c r="M184" i="9" s="1"/>
  <c r="L185" i="9"/>
  <c r="M185" i="9" s="1"/>
  <c r="L186" i="9"/>
  <c r="L187" i="9"/>
  <c r="L188" i="9"/>
  <c r="L189" i="9"/>
  <c r="L190" i="9"/>
  <c r="L191" i="9"/>
  <c r="L192" i="9"/>
  <c r="M192" i="9" s="1"/>
  <c r="L193" i="9"/>
  <c r="M193" i="9" s="1"/>
  <c r="L194" i="9"/>
  <c r="L195" i="9"/>
  <c r="L196" i="9"/>
  <c r="L197" i="9"/>
  <c r="L198" i="9"/>
  <c r="L199" i="9"/>
  <c r="L200" i="9"/>
  <c r="M200" i="9" s="1"/>
  <c r="L201" i="9"/>
  <c r="M201" i="9" s="1"/>
  <c r="L202" i="9"/>
  <c r="L203" i="9"/>
  <c r="L204" i="9"/>
  <c r="L205" i="9"/>
  <c r="L206" i="9"/>
  <c r="L207" i="9"/>
  <c r="L208" i="9"/>
  <c r="M208" i="9" s="1"/>
  <c r="L209" i="9"/>
  <c r="M209" i="9" s="1"/>
  <c r="L210" i="9"/>
  <c r="L211" i="9"/>
  <c r="L212" i="9"/>
  <c r="L213" i="9"/>
  <c r="L214" i="9"/>
  <c r="L215" i="9"/>
  <c r="L216" i="9"/>
  <c r="M216" i="9" s="1"/>
  <c r="L217" i="9"/>
  <c r="M217" i="9" s="1"/>
  <c r="L218" i="9"/>
  <c r="L219" i="9"/>
  <c r="L220" i="9"/>
  <c r="L221" i="9"/>
  <c r="L222" i="9"/>
  <c r="L223" i="9"/>
  <c r="L224" i="9"/>
  <c r="M224" i="9" s="1"/>
  <c r="L225" i="9"/>
  <c r="M225" i="9" s="1"/>
  <c r="L226" i="9"/>
  <c r="L227" i="9"/>
  <c r="L228" i="9"/>
  <c r="L229" i="9"/>
  <c r="L230" i="9"/>
  <c r="L231" i="9"/>
  <c r="L232" i="9"/>
  <c r="M232" i="9" s="1"/>
  <c r="L233" i="9"/>
  <c r="M233" i="9" s="1"/>
  <c r="L234" i="9"/>
  <c r="L235" i="9"/>
  <c r="L236" i="9"/>
  <c r="L237" i="9"/>
  <c r="L238" i="9"/>
  <c r="L239" i="9"/>
  <c r="L240" i="9"/>
  <c r="M240" i="9" s="1"/>
  <c r="L241" i="9"/>
  <c r="M241" i="9" s="1"/>
  <c r="L242" i="9"/>
  <c r="L243" i="9"/>
  <c r="L244" i="9"/>
  <c r="L245" i="9"/>
  <c r="L246" i="9"/>
  <c r="L247" i="9"/>
  <c r="L248" i="9"/>
  <c r="M248" i="9" s="1"/>
  <c r="L249" i="9"/>
  <c r="M249" i="9" s="1"/>
  <c r="L250" i="9"/>
  <c r="L251" i="9"/>
  <c r="L252" i="9"/>
  <c r="L253" i="9"/>
  <c r="L254" i="9"/>
  <c r="L255" i="9"/>
  <c r="L256" i="9"/>
  <c r="M256" i="9" s="1"/>
  <c r="L257" i="9"/>
  <c r="M257" i="9" s="1"/>
  <c r="L258" i="9"/>
  <c r="L259" i="9"/>
  <c r="L260" i="9"/>
  <c r="L261" i="9"/>
  <c r="L262" i="9"/>
  <c r="L263" i="9"/>
  <c r="L264" i="9"/>
  <c r="M264" i="9" s="1"/>
  <c r="L265" i="9"/>
  <c r="M265" i="9" s="1"/>
  <c r="L266" i="9"/>
  <c r="L267" i="9"/>
  <c r="L268" i="9"/>
  <c r="L269" i="9"/>
  <c r="L270" i="9"/>
  <c r="L271" i="9"/>
  <c r="L272" i="9"/>
  <c r="M272" i="9" s="1"/>
  <c r="L273" i="9"/>
  <c r="M273" i="9" s="1"/>
  <c r="L274" i="9"/>
  <c r="L275" i="9"/>
  <c r="L276" i="9"/>
  <c r="L277" i="9"/>
  <c r="L278" i="9"/>
  <c r="L279" i="9"/>
  <c r="L280" i="9"/>
  <c r="M280" i="9" s="1"/>
  <c r="L281" i="9"/>
  <c r="M281" i="9" s="1"/>
  <c r="L282" i="9"/>
  <c r="L283" i="9"/>
  <c r="L284" i="9"/>
  <c r="L285" i="9"/>
  <c r="L286" i="9"/>
  <c r="L287" i="9"/>
  <c r="L288" i="9"/>
  <c r="M288" i="9" s="1"/>
  <c r="L289" i="9"/>
  <c r="M289" i="9" s="1"/>
  <c r="L290" i="9"/>
  <c r="L291" i="9"/>
  <c r="L292" i="9"/>
  <c r="L293" i="9"/>
  <c r="L294" i="9"/>
  <c r="L295" i="9"/>
  <c r="L296" i="9"/>
  <c r="M296" i="9" s="1"/>
  <c r="L297" i="9"/>
  <c r="M297" i="9" s="1"/>
  <c r="L298" i="9"/>
  <c r="L299" i="9"/>
  <c r="L300" i="9"/>
  <c r="L301" i="9"/>
  <c r="L302" i="9"/>
  <c r="L303" i="9"/>
  <c r="L304" i="9"/>
  <c r="M304" i="9" s="1"/>
  <c r="L305" i="9"/>
  <c r="M305" i="9" s="1"/>
  <c r="L306" i="9"/>
  <c r="L307" i="9"/>
  <c r="L308" i="9"/>
  <c r="L309" i="9"/>
  <c r="L310" i="9"/>
  <c r="L311" i="9"/>
  <c r="M311" i="9" s="1"/>
  <c r="L312" i="9"/>
  <c r="L313" i="9"/>
  <c r="M313" i="9" s="1"/>
  <c r="L314" i="9"/>
  <c r="L315" i="9"/>
  <c r="L316" i="9"/>
  <c r="L317" i="9"/>
  <c r="L318" i="9"/>
  <c r="L319" i="9"/>
  <c r="M319" i="9" s="1"/>
  <c r="L320" i="9"/>
  <c r="M320" i="9" s="1"/>
  <c r="L321" i="9"/>
  <c r="M321" i="9" s="1"/>
  <c r="L322" i="9"/>
  <c r="L323" i="9"/>
  <c r="L324" i="9"/>
  <c r="L325" i="9"/>
  <c r="L326" i="9"/>
  <c r="L327" i="9"/>
  <c r="M327" i="9" s="1"/>
  <c r="L328" i="9"/>
  <c r="M328" i="9" s="1"/>
  <c r="L329" i="9"/>
  <c r="M329" i="9" s="1"/>
  <c r="L330" i="9"/>
  <c r="L331" i="9"/>
  <c r="L332" i="9"/>
  <c r="L333" i="9"/>
  <c r="L334" i="9"/>
  <c r="L335" i="9"/>
  <c r="L336" i="9"/>
  <c r="M336" i="9" s="1"/>
  <c r="L337" i="9"/>
  <c r="M337" i="9" s="1"/>
  <c r="L338" i="9"/>
  <c r="L339" i="9"/>
  <c r="L340" i="9"/>
  <c r="L341" i="9"/>
  <c r="L342" i="9"/>
  <c r="L343" i="9"/>
  <c r="L344" i="9"/>
  <c r="M344" i="9" s="1"/>
  <c r="L345" i="9"/>
  <c r="M345" i="9" s="1"/>
  <c r="L346" i="9"/>
  <c r="L347" i="9"/>
  <c r="L348" i="9"/>
  <c r="L349" i="9"/>
  <c r="L350" i="9"/>
  <c r="L351" i="9"/>
  <c r="L352" i="9"/>
  <c r="M352" i="9" s="1"/>
  <c r="L353" i="9"/>
  <c r="M353" i="9" s="1"/>
  <c r="L354" i="9"/>
  <c r="L355" i="9"/>
  <c r="L356" i="9"/>
  <c r="L357" i="9"/>
  <c r="L358" i="9"/>
  <c r="L359" i="9"/>
  <c r="M359" i="9" s="1"/>
  <c r="L360" i="9"/>
  <c r="M360" i="9" s="1"/>
  <c r="L361" i="9"/>
  <c r="M361" i="9" s="1"/>
  <c r="L362" i="9"/>
  <c r="L363" i="9"/>
  <c r="L364" i="9"/>
  <c r="L365" i="9"/>
  <c r="L366" i="9"/>
  <c r="L367" i="9"/>
  <c r="L2" i="9"/>
  <c r="I367" i="9"/>
  <c r="J367" i="9" s="1"/>
  <c r="I366" i="9"/>
  <c r="J366" i="9" s="1"/>
  <c r="I365" i="9"/>
  <c r="I364" i="9"/>
  <c r="I363" i="9"/>
  <c r="I362" i="9"/>
  <c r="I361" i="9"/>
  <c r="I360" i="9"/>
  <c r="I359" i="9"/>
  <c r="J359" i="9" s="1"/>
  <c r="I358" i="9"/>
  <c r="J358" i="9" s="1"/>
  <c r="I357" i="9"/>
  <c r="I356" i="9"/>
  <c r="I355" i="9"/>
  <c r="I354" i="9"/>
  <c r="I353" i="9"/>
  <c r="I352" i="9"/>
  <c r="I351" i="9"/>
  <c r="J351" i="9" s="1"/>
  <c r="I350" i="9"/>
  <c r="J350" i="9" s="1"/>
  <c r="I349" i="9"/>
  <c r="I348" i="9"/>
  <c r="I347" i="9"/>
  <c r="I346" i="9"/>
  <c r="I345" i="9"/>
  <c r="I344" i="9"/>
  <c r="I343" i="9"/>
  <c r="J343" i="9" s="1"/>
  <c r="I342" i="9"/>
  <c r="J342" i="9" s="1"/>
  <c r="I341" i="9"/>
  <c r="I340" i="9"/>
  <c r="I339" i="9"/>
  <c r="I338" i="9"/>
  <c r="I337" i="9"/>
  <c r="I336" i="9"/>
  <c r="I335" i="9"/>
  <c r="J335" i="9" s="1"/>
  <c r="I334" i="9"/>
  <c r="J334" i="9" s="1"/>
  <c r="I333" i="9"/>
  <c r="J333" i="9" s="1"/>
  <c r="I332" i="9"/>
  <c r="I331" i="9"/>
  <c r="I330" i="9"/>
  <c r="I329" i="9"/>
  <c r="I328" i="9"/>
  <c r="I327" i="9"/>
  <c r="J327" i="9" s="1"/>
  <c r="I326" i="9"/>
  <c r="J326" i="9" s="1"/>
  <c r="I325" i="9"/>
  <c r="J325" i="9" s="1"/>
  <c r="I324" i="9"/>
  <c r="I323" i="9"/>
  <c r="I322" i="9"/>
  <c r="I321" i="9"/>
  <c r="I320" i="9"/>
  <c r="I319" i="9"/>
  <c r="J319" i="9" s="1"/>
  <c r="I318" i="9"/>
  <c r="J318" i="9" s="1"/>
  <c r="I317" i="9"/>
  <c r="J317" i="9" s="1"/>
  <c r="I316" i="9"/>
  <c r="I315" i="9"/>
  <c r="I314" i="9"/>
  <c r="I313" i="9"/>
  <c r="I312" i="9"/>
  <c r="I311" i="9"/>
  <c r="J311" i="9" s="1"/>
  <c r="I310" i="9"/>
  <c r="J310" i="9" s="1"/>
  <c r="I309" i="9"/>
  <c r="J309" i="9" s="1"/>
  <c r="I308" i="9"/>
  <c r="I307" i="9"/>
  <c r="I306" i="9"/>
  <c r="I305" i="9"/>
  <c r="I304" i="9"/>
  <c r="I303" i="9"/>
  <c r="J303" i="9" s="1"/>
  <c r="I302" i="9"/>
  <c r="J302" i="9" s="1"/>
  <c r="I301" i="9"/>
  <c r="J301" i="9" s="1"/>
  <c r="I300" i="9"/>
  <c r="I299" i="9"/>
  <c r="I298" i="9"/>
  <c r="I297" i="9"/>
  <c r="I296" i="9"/>
  <c r="I295" i="9"/>
  <c r="J295" i="9" s="1"/>
  <c r="I294" i="9"/>
  <c r="I293" i="9"/>
  <c r="J293" i="9" s="1"/>
  <c r="I292" i="9"/>
  <c r="I291" i="9"/>
  <c r="I290" i="9"/>
  <c r="I289" i="9"/>
  <c r="I288" i="9"/>
  <c r="I287" i="9"/>
  <c r="J287" i="9" s="1"/>
  <c r="I286" i="9"/>
  <c r="J286" i="9" s="1"/>
  <c r="I285" i="9"/>
  <c r="J285" i="9" s="1"/>
  <c r="I284" i="9"/>
  <c r="I283" i="9"/>
  <c r="I282" i="9"/>
  <c r="I281" i="9"/>
  <c r="I280" i="9"/>
  <c r="I279" i="9"/>
  <c r="J279" i="9" s="1"/>
  <c r="I278" i="9"/>
  <c r="J278" i="9" s="1"/>
  <c r="I277" i="9"/>
  <c r="J277" i="9" s="1"/>
  <c r="I276" i="9"/>
  <c r="I275" i="9"/>
  <c r="I274" i="9"/>
  <c r="I273" i="9"/>
  <c r="I272" i="9"/>
  <c r="I271" i="9"/>
  <c r="J271" i="9" s="1"/>
  <c r="I270" i="9"/>
  <c r="J270" i="9" s="1"/>
  <c r="I269" i="9"/>
  <c r="J269" i="9" s="1"/>
  <c r="I268" i="9"/>
  <c r="I267" i="9"/>
  <c r="I266" i="9"/>
  <c r="I265" i="9"/>
  <c r="I264" i="9"/>
  <c r="I263" i="9"/>
  <c r="J263" i="9" s="1"/>
  <c r="I262" i="9"/>
  <c r="J262" i="9" s="1"/>
  <c r="I261" i="9"/>
  <c r="J261" i="9" s="1"/>
  <c r="I260" i="9"/>
  <c r="I259" i="9"/>
  <c r="I258" i="9"/>
  <c r="I257" i="9"/>
  <c r="I256" i="9"/>
  <c r="I255" i="9"/>
  <c r="J255" i="9" s="1"/>
  <c r="I254" i="9"/>
  <c r="J254" i="9" s="1"/>
  <c r="I253" i="9"/>
  <c r="J253" i="9" s="1"/>
  <c r="I252" i="9"/>
  <c r="I251" i="9"/>
  <c r="I250" i="9"/>
  <c r="I249" i="9"/>
  <c r="I248" i="9"/>
  <c r="I247" i="9"/>
  <c r="J247" i="9" s="1"/>
  <c r="I246" i="9"/>
  <c r="J246" i="9" s="1"/>
  <c r="I245" i="9"/>
  <c r="J245" i="9" s="1"/>
  <c r="I244" i="9"/>
  <c r="I243" i="9"/>
  <c r="I242" i="9"/>
  <c r="I241" i="9"/>
  <c r="I240" i="9"/>
  <c r="I239" i="9"/>
  <c r="J239" i="9" s="1"/>
  <c r="I238" i="9"/>
  <c r="J238" i="9" s="1"/>
  <c r="I237" i="9"/>
  <c r="J237" i="9" s="1"/>
  <c r="I236" i="9"/>
  <c r="I235" i="9"/>
  <c r="I234" i="9"/>
  <c r="I233" i="9"/>
  <c r="I232" i="9"/>
  <c r="I231" i="9"/>
  <c r="J231" i="9" s="1"/>
  <c r="I230" i="9"/>
  <c r="J230" i="9" s="1"/>
  <c r="I229" i="9"/>
  <c r="J229" i="9" s="1"/>
  <c r="I228" i="9"/>
  <c r="I227" i="9"/>
  <c r="I226" i="9"/>
  <c r="I225" i="9"/>
  <c r="I224" i="9"/>
  <c r="I223" i="9"/>
  <c r="J223" i="9" s="1"/>
  <c r="I222" i="9"/>
  <c r="J222" i="9" s="1"/>
  <c r="I221" i="9"/>
  <c r="J221" i="9" s="1"/>
  <c r="I220" i="9"/>
  <c r="I219" i="9"/>
  <c r="I218" i="9"/>
  <c r="I217" i="9"/>
  <c r="I216" i="9"/>
  <c r="I215" i="9"/>
  <c r="J215" i="9" s="1"/>
  <c r="I214" i="9"/>
  <c r="J214" i="9" s="1"/>
  <c r="I213" i="9"/>
  <c r="J213" i="9" s="1"/>
  <c r="I212" i="9"/>
  <c r="I211" i="9"/>
  <c r="I210" i="9"/>
  <c r="I209" i="9"/>
  <c r="I208" i="9"/>
  <c r="I207" i="9"/>
  <c r="J207" i="9" s="1"/>
  <c r="I206" i="9"/>
  <c r="J206" i="9" s="1"/>
  <c r="I205" i="9"/>
  <c r="J205" i="9" s="1"/>
  <c r="I204" i="9"/>
  <c r="I203" i="9"/>
  <c r="I202" i="9"/>
  <c r="I201" i="9"/>
  <c r="I200" i="9"/>
  <c r="I199" i="9"/>
  <c r="J199" i="9" s="1"/>
  <c r="I198" i="9"/>
  <c r="J198" i="9" s="1"/>
  <c r="I197" i="9"/>
  <c r="J197" i="9" s="1"/>
  <c r="I196" i="9"/>
  <c r="I195" i="9"/>
  <c r="I194" i="9"/>
  <c r="I193" i="9"/>
  <c r="I192" i="9"/>
  <c r="I191" i="9"/>
  <c r="J191" i="9" s="1"/>
  <c r="I190" i="9"/>
  <c r="J190" i="9" s="1"/>
  <c r="I189" i="9"/>
  <c r="J189" i="9" s="1"/>
  <c r="I188" i="9"/>
  <c r="I187" i="9"/>
  <c r="I186" i="9"/>
  <c r="I185" i="9"/>
  <c r="I184" i="9"/>
  <c r="I183" i="9"/>
  <c r="J183" i="9" s="1"/>
  <c r="I182" i="9"/>
  <c r="J182" i="9" s="1"/>
  <c r="I181" i="9"/>
  <c r="J181" i="9" s="1"/>
  <c r="I180" i="9"/>
  <c r="I179" i="9"/>
  <c r="I178" i="9"/>
  <c r="I177" i="9"/>
  <c r="I176" i="9"/>
  <c r="I175" i="9"/>
  <c r="J175" i="9" s="1"/>
  <c r="I174" i="9"/>
  <c r="J174" i="9" s="1"/>
  <c r="I173" i="9"/>
  <c r="J173" i="9" s="1"/>
  <c r="I172" i="9"/>
  <c r="I171" i="9"/>
  <c r="I170" i="9"/>
  <c r="I169" i="9"/>
  <c r="I168" i="9"/>
  <c r="I167" i="9"/>
  <c r="J167" i="9" s="1"/>
  <c r="I166" i="9"/>
  <c r="J166" i="9" s="1"/>
  <c r="I165" i="9"/>
  <c r="J165" i="9" s="1"/>
  <c r="I164" i="9"/>
  <c r="I163" i="9"/>
  <c r="I162" i="9"/>
  <c r="I161" i="9"/>
  <c r="I160" i="9"/>
  <c r="I159" i="9"/>
  <c r="J159" i="9" s="1"/>
  <c r="I158" i="9"/>
  <c r="J158" i="9" s="1"/>
  <c r="I157" i="9"/>
  <c r="J157" i="9" s="1"/>
  <c r="I156" i="9"/>
  <c r="I155" i="9"/>
  <c r="I154" i="9"/>
  <c r="I153" i="9"/>
  <c r="I152" i="9"/>
  <c r="I151" i="9"/>
  <c r="J151" i="9" s="1"/>
  <c r="I150" i="9"/>
  <c r="J150" i="9" s="1"/>
  <c r="I149" i="9"/>
  <c r="J149" i="9" s="1"/>
  <c r="I148" i="9"/>
  <c r="I147" i="9"/>
  <c r="I146" i="9"/>
  <c r="I145" i="9"/>
  <c r="I144" i="9"/>
  <c r="I143" i="9"/>
  <c r="J143" i="9" s="1"/>
  <c r="I142" i="9"/>
  <c r="J142" i="9" s="1"/>
  <c r="I141" i="9"/>
  <c r="J141" i="9" s="1"/>
  <c r="I140" i="9"/>
  <c r="I139" i="9"/>
  <c r="I138" i="9"/>
  <c r="I137" i="9"/>
  <c r="I136" i="9"/>
  <c r="I135" i="9"/>
  <c r="J135" i="9" s="1"/>
  <c r="I134" i="9"/>
  <c r="J134" i="9" s="1"/>
  <c r="I133" i="9"/>
  <c r="J133" i="9" s="1"/>
  <c r="I132" i="9"/>
  <c r="I131" i="9"/>
  <c r="I130" i="9"/>
  <c r="I129" i="9"/>
  <c r="I128" i="9"/>
  <c r="I127" i="9"/>
  <c r="J127" i="9" s="1"/>
  <c r="I126" i="9"/>
  <c r="J126" i="9" s="1"/>
  <c r="I125" i="9"/>
  <c r="J125" i="9" s="1"/>
  <c r="I124" i="9"/>
  <c r="I123" i="9"/>
  <c r="I122" i="9"/>
  <c r="I121" i="9"/>
  <c r="I120" i="9"/>
  <c r="I119" i="9"/>
  <c r="J119" i="9" s="1"/>
  <c r="I118" i="9"/>
  <c r="J118" i="9" s="1"/>
  <c r="I117" i="9"/>
  <c r="J117" i="9" s="1"/>
  <c r="I116" i="9"/>
  <c r="I115" i="9"/>
  <c r="I114" i="9"/>
  <c r="I113" i="9"/>
  <c r="I112" i="9"/>
  <c r="I111" i="9"/>
  <c r="J111" i="9" s="1"/>
  <c r="I110" i="9"/>
  <c r="J110" i="9" s="1"/>
  <c r="I109" i="9"/>
  <c r="J109" i="9" s="1"/>
  <c r="I108" i="9"/>
  <c r="I107" i="9"/>
  <c r="I106" i="9"/>
  <c r="I105" i="9"/>
  <c r="I104" i="9"/>
  <c r="I103" i="9"/>
  <c r="J103" i="9" s="1"/>
  <c r="I102" i="9"/>
  <c r="J102" i="9" s="1"/>
  <c r="I101" i="9"/>
  <c r="J101" i="9" s="1"/>
  <c r="I100" i="9"/>
  <c r="I99" i="9"/>
  <c r="I98" i="9"/>
  <c r="I97" i="9"/>
  <c r="I96" i="9"/>
  <c r="I95" i="9"/>
  <c r="J95" i="9" s="1"/>
  <c r="I94" i="9"/>
  <c r="J94" i="9" s="1"/>
  <c r="I93" i="9"/>
  <c r="J93" i="9" s="1"/>
  <c r="I92" i="9"/>
  <c r="I91" i="9"/>
  <c r="I90" i="9"/>
  <c r="I89" i="9"/>
  <c r="I88" i="9"/>
  <c r="I87" i="9"/>
  <c r="J87" i="9" s="1"/>
  <c r="I86" i="9"/>
  <c r="J86" i="9" s="1"/>
  <c r="I85" i="9"/>
  <c r="J85" i="9" s="1"/>
  <c r="I84" i="9"/>
  <c r="I83" i="9"/>
  <c r="I82" i="9"/>
  <c r="I81" i="9"/>
  <c r="I80" i="9"/>
  <c r="I79" i="9"/>
  <c r="J79" i="9" s="1"/>
  <c r="I78" i="9"/>
  <c r="J78" i="9" s="1"/>
  <c r="I77" i="9"/>
  <c r="J77" i="9" s="1"/>
  <c r="I76" i="9"/>
  <c r="I75" i="9"/>
  <c r="I74" i="9"/>
  <c r="I73" i="9"/>
  <c r="I72" i="9"/>
  <c r="I71" i="9"/>
  <c r="J71" i="9" s="1"/>
  <c r="I70" i="9"/>
  <c r="J70" i="9" s="1"/>
  <c r="I69" i="9"/>
  <c r="J69" i="9" s="1"/>
  <c r="I68" i="9"/>
  <c r="I67" i="9"/>
  <c r="I66" i="9"/>
  <c r="I65" i="9"/>
  <c r="I64" i="9"/>
  <c r="I63" i="9"/>
  <c r="J63" i="9" s="1"/>
  <c r="I62" i="9"/>
  <c r="J62" i="9" s="1"/>
  <c r="I61" i="9"/>
  <c r="J61" i="9" s="1"/>
  <c r="I60" i="9"/>
  <c r="I59" i="9"/>
  <c r="I58" i="9"/>
  <c r="I57" i="9"/>
  <c r="I56" i="9"/>
  <c r="I55" i="9"/>
  <c r="J55" i="9" s="1"/>
  <c r="I54" i="9"/>
  <c r="J54" i="9" s="1"/>
  <c r="I53" i="9"/>
  <c r="J53" i="9" s="1"/>
  <c r="I52" i="9"/>
  <c r="I51" i="9"/>
  <c r="I50" i="9"/>
  <c r="I49" i="9"/>
  <c r="I48" i="9"/>
  <c r="I47" i="9"/>
  <c r="J47" i="9" s="1"/>
  <c r="I46" i="9"/>
  <c r="J46" i="9" s="1"/>
  <c r="I45" i="9"/>
  <c r="J45" i="9" s="1"/>
  <c r="I44" i="9"/>
  <c r="I43" i="9"/>
  <c r="J43" i="9" s="1"/>
  <c r="I42" i="9"/>
  <c r="I41" i="9"/>
  <c r="I40" i="9"/>
  <c r="I39" i="9"/>
  <c r="J39" i="9" s="1"/>
  <c r="I38" i="9"/>
  <c r="J38" i="9" s="1"/>
  <c r="I37" i="9"/>
  <c r="J37" i="9" s="1"/>
  <c r="I36" i="9"/>
  <c r="I35" i="9"/>
  <c r="J35" i="9" s="1"/>
  <c r="I34" i="9"/>
  <c r="I33" i="9"/>
  <c r="I32" i="9"/>
  <c r="I31" i="9"/>
  <c r="J31" i="9" s="1"/>
  <c r="I30" i="9"/>
  <c r="J30" i="9" s="1"/>
  <c r="I29" i="9"/>
  <c r="J29" i="9" s="1"/>
  <c r="I28" i="9"/>
  <c r="I27" i="9"/>
  <c r="J27" i="9" s="1"/>
  <c r="I26" i="9"/>
  <c r="I25" i="9"/>
  <c r="I24" i="9"/>
  <c r="I23" i="9"/>
  <c r="J23" i="9" s="1"/>
  <c r="I22" i="9"/>
  <c r="J22" i="9" s="1"/>
  <c r="I21" i="9"/>
  <c r="J21" i="9" s="1"/>
  <c r="I20" i="9"/>
  <c r="I19" i="9"/>
  <c r="J19" i="9" s="1"/>
  <c r="I18" i="9"/>
  <c r="I17" i="9"/>
  <c r="I16" i="9"/>
  <c r="I15" i="9"/>
  <c r="J15" i="9" s="1"/>
  <c r="I14" i="9"/>
  <c r="J14" i="9" s="1"/>
  <c r="I13" i="9"/>
  <c r="J13" i="9" s="1"/>
  <c r="I12" i="9"/>
  <c r="I11" i="9"/>
  <c r="J11" i="9" s="1"/>
  <c r="I10" i="9"/>
  <c r="I9" i="9"/>
  <c r="I8" i="9"/>
  <c r="I7" i="9"/>
  <c r="J7" i="9" s="1"/>
  <c r="I6" i="9"/>
  <c r="J6" i="9" s="1"/>
  <c r="I5" i="9"/>
  <c r="J5" i="9" s="1"/>
  <c r="I4" i="9"/>
  <c r="I3" i="9"/>
  <c r="J3" i="9" s="1"/>
  <c r="I2" i="9"/>
  <c r="F3" i="8"/>
  <c r="I3" i="8" s="1"/>
  <c r="J3" i="8" s="1"/>
  <c r="F4" i="8"/>
  <c r="F5" i="8"/>
  <c r="F6" i="8"/>
  <c r="F7" i="8"/>
  <c r="F8" i="8"/>
  <c r="F9" i="8"/>
  <c r="I9" i="8" s="1"/>
  <c r="J9" i="8" s="1"/>
  <c r="F10" i="8"/>
  <c r="F11" i="8"/>
  <c r="I11" i="8" s="1"/>
  <c r="J11" i="8" s="1"/>
  <c r="F12" i="8"/>
  <c r="F13" i="8"/>
  <c r="F14" i="8"/>
  <c r="F15" i="8"/>
  <c r="F16" i="8"/>
  <c r="F17" i="8"/>
  <c r="F18" i="8"/>
  <c r="F19" i="8"/>
  <c r="I19" i="8" s="1"/>
  <c r="J19" i="8" s="1"/>
  <c r="F20" i="8"/>
  <c r="F21" i="8"/>
  <c r="F22" i="8"/>
  <c r="F23" i="8"/>
  <c r="F24" i="8"/>
  <c r="F25" i="8"/>
  <c r="F26" i="8"/>
  <c r="F27" i="8"/>
  <c r="I27" i="8" s="1"/>
  <c r="J27" i="8" s="1"/>
  <c r="F28" i="8"/>
  <c r="F29" i="8"/>
  <c r="F30" i="8"/>
  <c r="F31" i="8"/>
  <c r="F32" i="8"/>
  <c r="F33" i="8"/>
  <c r="I33" i="8" s="1"/>
  <c r="J33" i="8" s="1"/>
  <c r="F34" i="8"/>
  <c r="F35" i="8"/>
  <c r="I35" i="8" s="1"/>
  <c r="J35" i="8" s="1"/>
  <c r="F36" i="8"/>
  <c r="F37" i="8"/>
  <c r="F38" i="8"/>
  <c r="F39" i="8"/>
  <c r="F40" i="8"/>
  <c r="F41" i="8"/>
  <c r="I41" i="8" s="1"/>
  <c r="J41" i="8" s="1"/>
  <c r="F42" i="8"/>
  <c r="F43" i="8"/>
  <c r="I43" i="8" s="1"/>
  <c r="J43" i="8" s="1"/>
  <c r="F44" i="8"/>
  <c r="F45" i="8"/>
  <c r="F46" i="8"/>
  <c r="F47" i="8"/>
  <c r="F48" i="8"/>
  <c r="F49" i="8"/>
  <c r="F50" i="8"/>
  <c r="F51" i="8"/>
  <c r="I51" i="8" s="1"/>
  <c r="J51" i="8" s="1"/>
  <c r="F52" i="8"/>
  <c r="F53" i="8"/>
  <c r="F54" i="8"/>
  <c r="F55" i="8"/>
  <c r="F56" i="8"/>
  <c r="F57" i="8"/>
  <c r="F58" i="8"/>
  <c r="F59" i="8"/>
  <c r="I59" i="8" s="1"/>
  <c r="J59" i="8" s="1"/>
  <c r="F60" i="8"/>
  <c r="F61" i="8"/>
  <c r="F62" i="8"/>
  <c r="F63" i="8"/>
  <c r="F64" i="8"/>
  <c r="F65" i="8"/>
  <c r="I65" i="8" s="1"/>
  <c r="J65" i="8" s="1"/>
  <c r="F66" i="8"/>
  <c r="F67" i="8"/>
  <c r="I67" i="8" s="1"/>
  <c r="J67" i="8" s="1"/>
  <c r="F68" i="8"/>
  <c r="F69" i="8"/>
  <c r="F70" i="8"/>
  <c r="F71" i="8"/>
  <c r="F72" i="8"/>
  <c r="F73" i="8"/>
  <c r="I73" i="8" s="1"/>
  <c r="J73" i="8" s="1"/>
  <c r="F74" i="8"/>
  <c r="F75" i="8"/>
  <c r="I75" i="8" s="1"/>
  <c r="J75" i="8" s="1"/>
  <c r="F76" i="8"/>
  <c r="F77" i="8"/>
  <c r="F78" i="8"/>
  <c r="F79" i="8"/>
  <c r="F80" i="8"/>
  <c r="F81" i="8"/>
  <c r="F82" i="8"/>
  <c r="F83" i="8"/>
  <c r="I83" i="8" s="1"/>
  <c r="J83" i="8" s="1"/>
  <c r="F84" i="8"/>
  <c r="F85" i="8"/>
  <c r="F86" i="8"/>
  <c r="F87" i="8"/>
  <c r="F88" i="8"/>
  <c r="F89" i="8"/>
  <c r="F90" i="8"/>
  <c r="F91" i="8"/>
  <c r="I91" i="8" s="1"/>
  <c r="J91" i="8" s="1"/>
  <c r="F92" i="8"/>
  <c r="F93" i="8"/>
  <c r="F94" i="8"/>
  <c r="F95" i="8"/>
  <c r="F96" i="8"/>
  <c r="F97" i="8"/>
  <c r="I97" i="8" s="1"/>
  <c r="J97" i="8" s="1"/>
  <c r="F98" i="8"/>
  <c r="F99" i="8"/>
  <c r="I99" i="8" s="1"/>
  <c r="J99" i="8" s="1"/>
  <c r="F100" i="8"/>
  <c r="F101" i="8"/>
  <c r="F102" i="8"/>
  <c r="F103" i="8"/>
  <c r="F104" i="8"/>
  <c r="F105" i="8"/>
  <c r="I105" i="8" s="1"/>
  <c r="J105" i="8" s="1"/>
  <c r="F106" i="8"/>
  <c r="F107" i="8"/>
  <c r="I107" i="8" s="1"/>
  <c r="J107" i="8" s="1"/>
  <c r="F108" i="8"/>
  <c r="F109" i="8"/>
  <c r="F110" i="8"/>
  <c r="F111" i="8"/>
  <c r="F112" i="8"/>
  <c r="F113" i="8"/>
  <c r="F114" i="8"/>
  <c r="F115" i="8"/>
  <c r="I115" i="8" s="1"/>
  <c r="J115" i="8" s="1"/>
  <c r="F116" i="8"/>
  <c r="F117" i="8"/>
  <c r="F118" i="8"/>
  <c r="F119" i="8"/>
  <c r="F120" i="8"/>
  <c r="F121" i="8"/>
  <c r="F122" i="8"/>
  <c r="F123" i="8"/>
  <c r="I123" i="8" s="1"/>
  <c r="J123" i="8" s="1"/>
  <c r="F124" i="8"/>
  <c r="F125" i="8"/>
  <c r="F126" i="8"/>
  <c r="F127" i="8"/>
  <c r="F128" i="8"/>
  <c r="F129" i="8"/>
  <c r="I129" i="8" s="1"/>
  <c r="J129" i="8" s="1"/>
  <c r="F130" i="8"/>
  <c r="F131" i="8"/>
  <c r="I131" i="8" s="1"/>
  <c r="J131" i="8" s="1"/>
  <c r="F132" i="8"/>
  <c r="F133" i="8"/>
  <c r="F134" i="8"/>
  <c r="F135" i="8"/>
  <c r="F136" i="8"/>
  <c r="F137" i="8"/>
  <c r="I137" i="8" s="1"/>
  <c r="J137" i="8" s="1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I153" i="8" s="1"/>
  <c r="J153" i="8" s="1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I169" i="8" s="1"/>
  <c r="J169" i="8" s="1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I185" i="8" s="1"/>
  <c r="J185" i="8" s="1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I201" i="8" s="1"/>
  <c r="J201" i="8" s="1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I217" i="8" s="1"/>
  <c r="J217" i="8" s="1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I233" i="8" s="1"/>
  <c r="J233" i="8" s="1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I249" i="8" s="1"/>
  <c r="J249" i="8" s="1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I265" i="8" s="1"/>
  <c r="J265" i="8" s="1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I281" i="8" s="1"/>
  <c r="J281" i="8" s="1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I297" i="8" s="1"/>
  <c r="J297" i="8" s="1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I313" i="8" s="1"/>
  <c r="J313" i="8" s="1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I329" i="8" s="1"/>
  <c r="J329" i="8" s="1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I345" i="8" s="1"/>
  <c r="J345" i="8" s="1"/>
  <c r="F346" i="8"/>
  <c r="F347" i="8"/>
  <c r="F348" i="8"/>
  <c r="F349" i="8"/>
  <c r="F350" i="8"/>
  <c r="F351" i="8"/>
  <c r="F352" i="8"/>
  <c r="F353" i="8"/>
  <c r="I353" i="8" s="1"/>
  <c r="J353" i="8" s="1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2" i="8"/>
  <c r="H3" i="8"/>
  <c r="H4" i="8"/>
  <c r="H5" i="8"/>
  <c r="I5" i="8" s="1"/>
  <c r="J5" i="8" s="1"/>
  <c r="H6" i="8"/>
  <c r="H7" i="8"/>
  <c r="H8" i="8"/>
  <c r="H9" i="8"/>
  <c r="H10" i="8"/>
  <c r="H11" i="8"/>
  <c r="H12" i="8"/>
  <c r="H13" i="8"/>
  <c r="I13" i="8" s="1"/>
  <c r="J13" i="8" s="1"/>
  <c r="H14" i="8"/>
  <c r="H15" i="8"/>
  <c r="H16" i="8"/>
  <c r="H17" i="8"/>
  <c r="H18" i="8"/>
  <c r="H19" i="8"/>
  <c r="H20" i="8"/>
  <c r="H21" i="8"/>
  <c r="I21" i="8" s="1"/>
  <c r="J21" i="8" s="1"/>
  <c r="H22" i="8"/>
  <c r="H23" i="8"/>
  <c r="H24" i="8"/>
  <c r="H25" i="8"/>
  <c r="H26" i="8"/>
  <c r="H27" i="8"/>
  <c r="H28" i="8"/>
  <c r="H29" i="8"/>
  <c r="I29" i="8" s="1"/>
  <c r="J29" i="8" s="1"/>
  <c r="H30" i="8"/>
  <c r="H31" i="8"/>
  <c r="H32" i="8"/>
  <c r="H33" i="8"/>
  <c r="H34" i="8"/>
  <c r="H35" i="8"/>
  <c r="H36" i="8"/>
  <c r="H37" i="8"/>
  <c r="I37" i="8" s="1"/>
  <c r="J37" i="8" s="1"/>
  <c r="H38" i="8"/>
  <c r="H39" i="8"/>
  <c r="H40" i="8"/>
  <c r="H41" i="8"/>
  <c r="H42" i="8"/>
  <c r="H43" i="8"/>
  <c r="H44" i="8"/>
  <c r="H45" i="8"/>
  <c r="I45" i="8" s="1"/>
  <c r="J45" i="8" s="1"/>
  <c r="H46" i="8"/>
  <c r="H47" i="8"/>
  <c r="H48" i="8"/>
  <c r="H49" i="8"/>
  <c r="H50" i="8"/>
  <c r="H51" i="8"/>
  <c r="H52" i="8"/>
  <c r="H53" i="8"/>
  <c r="I53" i="8" s="1"/>
  <c r="J53" i="8" s="1"/>
  <c r="H54" i="8"/>
  <c r="H55" i="8"/>
  <c r="H56" i="8"/>
  <c r="H57" i="8"/>
  <c r="H58" i="8"/>
  <c r="H59" i="8"/>
  <c r="H60" i="8"/>
  <c r="H61" i="8"/>
  <c r="I61" i="8" s="1"/>
  <c r="J61" i="8" s="1"/>
  <c r="H62" i="8"/>
  <c r="H63" i="8"/>
  <c r="H64" i="8"/>
  <c r="H65" i="8"/>
  <c r="H66" i="8"/>
  <c r="H67" i="8"/>
  <c r="H68" i="8"/>
  <c r="H69" i="8"/>
  <c r="I69" i="8" s="1"/>
  <c r="J69" i="8" s="1"/>
  <c r="H70" i="8"/>
  <c r="H71" i="8"/>
  <c r="H72" i="8"/>
  <c r="H73" i="8"/>
  <c r="H74" i="8"/>
  <c r="H75" i="8"/>
  <c r="H76" i="8"/>
  <c r="H77" i="8"/>
  <c r="I77" i="8" s="1"/>
  <c r="J77" i="8" s="1"/>
  <c r="H78" i="8"/>
  <c r="H79" i="8"/>
  <c r="H80" i="8"/>
  <c r="H81" i="8"/>
  <c r="H82" i="8"/>
  <c r="H83" i="8"/>
  <c r="H84" i="8"/>
  <c r="H85" i="8"/>
  <c r="I85" i="8" s="1"/>
  <c r="J85" i="8" s="1"/>
  <c r="H86" i="8"/>
  <c r="H87" i="8"/>
  <c r="H88" i="8"/>
  <c r="H89" i="8"/>
  <c r="H90" i="8"/>
  <c r="H91" i="8"/>
  <c r="H92" i="8"/>
  <c r="H93" i="8"/>
  <c r="I93" i="8" s="1"/>
  <c r="J93" i="8" s="1"/>
  <c r="H94" i="8"/>
  <c r="H95" i="8"/>
  <c r="H96" i="8"/>
  <c r="H97" i="8"/>
  <c r="H98" i="8"/>
  <c r="H99" i="8"/>
  <c r="H100" i="8"/>
  <c r="H101" i="8"/>
  <c r="I101" i="8" s="1"/>
  <c r="J101" i="8" s="1"/>
  <c r="H102" i="8"/>
  <c r="H103" i="8"/>
  <c r="H104" i="8"/>
  <c r="H105" i="8"/>
  <c r="H106" i="8"/>
  <c r="H107" i="8"/>
  <c r="H108" i="8"/>
  <c r="H109" i="8"/>
  <c r="I109" i="8" s="1"/>
  <c r="J109" i="8" s="1"/>
  <c r="H110" i="8"/>
  <c r="H111" i="8"/>
  <c r="H112" i="8"/>
  <c r="H113" i="8"/>
  <c r="H114" i="8"/>
  <c r="H115" i="8"/>
  <c r="H116" i="8"/>
  <c r="H117" i="8"/>
  <c r="I117" i="8" s="1"/>
  <c r="J117" i="8" s="1"/>
  <c r="H118" i="8"/>
  <c r="H119" i="8"/>
  <c r="H120" i="8"/>
  <c r="H121" i="8"/>
  <c r="H122" i="8"/>
  <c r="H123" i="8"/>
  <c r="H124" i="8"/>
  <c r="H125" i="8"/>
  <c r="I125" i="8" s="1"/>
  <c r="J125" i="8" s="1"/>
  <c r="H126" i="8"/>
  <c r="H127" i="8"/>
  <c r="H128" i="8"/>
  <c r="H129" i="8"/>
  <c r="H130" i="8"/>
  <c r="H131" i="8"/>
  <c r="H132" i="8"/>
  <c r="H133" i="8"/>
  <c r="I133" i="8" s="1"/>
  <c r="J133" i="8" s="1"/>
  <c r="H134" i="8"/>
  <c r="H135" i="8"/>
  <c r="H136" i="8"/>
  <c r="H137" i="8"/>
  <c r="H138" i="8"/>
  <c r="H139" i="8"/>
  <c r="H140" i="8"/>
  <c r="H141" i="8"/>
  <c r="I141" i="8" s="1"/>
  <c r="J141" i="8" s="1"/>
  <c r="H142" i="8"/>
  <c r="H143" i="8"/>
  <c r="H144" i="8"/>
  <c r="H145" i="8"/>
  <c r="H146" i="8"/>
  <c r="H147" i="8"/>
  <c r="H148" i="8"/>
  <c r="H149" i="8"/>
  <c r="I149" i="8" s="1"/>
  <c r="J149" i="8" s="1"/>
  <c r="H150" i="8"/>
  <c r="H151" i="8"/>
  <c r="H152" i="8"/>
  <c r="H153" i="8"/>
  <c r="H154" i="8"/>
  <c r="H155" i="8"/>
  <c r="H156" i="8"/>
  <c r="H157" i="8"/>
  <c r="I157" i="8" s="1"/>
  <c r="J157" i="8" s="1"/>
  <c r="H158" i="8"/>
  <c r="H159" i="8"/>
  <c r="H160" i="8"/>
  <c r="H161" i="8"/>
  <c r="H162" i="8"/>
  <c r="H163" i="8"/>
  <c r="H164" i="8"/>
  <c r="H165" i="8"/>
  <c r="I165" i="8" s="1"/>
  <c r="J165" i="8" s="1"/>
  <c r="H166" i="8"/>
  <c r="H167" i="8"/>
  <c r="H168" i="8"/>
  <c r="H169" i="8"/>
  <c r="H170" i="8"/>
  <c r="H171" i="8"/>
  <c r="H172" i="8"/>
  <c r="H173" i="8"/>
  <c r="I173" i="8" s="1"/>
  <c r="J173" i="8" s="1"/>
  <c r="H174" i="8"/>
  <c r="H175" i="8"/>
  <c r="H176" i="8"/>
  <c r="H177" i="8"/>
  <c r="H178" i="8"/>
  <c r="H179" i="8"/>
  <c r="H180" i="8"/>
  <c r="H181" i="8"/>
  <c r="I181" i="8" s="1"/>
  <c r="J181" i="8" s="1"/>
  <c r="H182" i="8"/>
  <c r="H183" i="8"/>
  <c r="H184" i="8"/>
  <c r="H185" i="8"/>
  <c r="H186" i="8"/>
  <c r="H187" i="8"/>
  <c r="H188" i="8"/>
  <c r="H189" i="8"/>
  <c r="I189" i="8" s="1"/>
  <c r="J189" i="8" s="1"/>
  <c r="H190" i="8"/>
  <c r="H191" i="8"/>
  <c r="H192" i="8"/>
  <c r="H193" i="8"/>
  <c r="H194" i="8"/>
  <c r="H195" i="8"/>
  <c r="H196" i="8"/>
  <c r="H197" i="8"/>
  <c r="I197" i="8" s="1"/>
  <c r="J197" i="8" s="1"/>
  <c r="H198" i="8"/>
  <c r="H199" i="8"/>
  <c r="H200" i="8"/>
  <c r="H201" i="8"/>
  <c r="H202" i="8"/>
  <c r="H203" i="8"/>
  <c r="H204" i="8"/>
  <c r="H205" i="8"/>
  <c r="I205" i="8" s="1"/>
  <c r="J205" i="8" s="1"/>
  <c r="H206" i="8"/>
  <c r="H207" i="8"/>
  <c r="H208" i="8"/>
  <c r="H209" i="8"/>
  <c r="H210" i="8"/>
  <c r="H211" i="8"/>
  <c r="H212" i="8"/>
  <c r="H213" i="8"/>
  <c r="I213" i="8" s="1"/>
  <c r="J213" i="8" s="1"/>
  <c r="H214" i="8"/>
  <c r="H215" i="8"/>
  <c r="H216" i="8"/>
  <c r="H217" i="8"/>
  <c r="H218" i="8"/>
  <c r="H219" i="8"/>
  <c r="H220" i="8"/>
  <c r="H221" i="8"/>
  <c r="I221" i="8" s="1"/>
  <c r="J221" i="8" s="1"/>
  <c r="H222" i="8"/>
  <c r="H223" i="8"/>
  <c r="H224" i="8"/>
  <c r="H225" i="8"/>
  <c r="H226" i="8"/>
  <c r="H227" i="8"/>
  <c r="H228" i="8"/>
  <c r="H229" i="8"/>
  <c r="I229" i="8" s="1"/>
  <c r="J229" i="8" s="1"/>
  <c r="H230" i="8"/>
  <c r="H231" i="8"/>
  <c r="H232" i="8"/>
  <c r="H233" i="8"/>
  <c r="H234" i="8"/>
  <c r="H235" i="8"/>
  <c r="H236" i="8"/>
  <c r="H237" i="8"/>
  <c r="I237" i="8" s="1"/>
  <c r="J237" i="8" s="1"/>
  <c r="H238" i="8"/>
  <c r="H239" i="8"/>
  <c r="H240" i="8"/>
  <c r="H241" i="8"/>
  <c r="H242" i="8"/>
  <c r="H243" i="8"/>
  <c r="H244" i="8"/>
  <c r="H245" i="8"/>
  <c r="I245" i="8" s="1"/>
  <c r="J245" i="8" s="1"/>
  <c r="H246" i="8"/>
  <c r="H247" i="8"/>
  <c r="H248" i="8"/>
  <c r="H249" i="8"/>
  <c r="H250" i="8"/>
  <c r="H251" i="8"/>
  <c r="H252" i="8"/>
  <c r="H253" i="8"/>
  <c r="I253" i="8" s="1"/>
  <c r="J253" i="8" s="1"/>
  <c r="H254" i="8"/>
  <c r="H255" i="8"/>
  <c r="H256" i="8"/>
  <c r="H257" i="8"/>
  <c r="H258" i="8"/>
  <c r="H259" i="8"/>
  <c r="H260" i="8"/>
  <c r="H261" i="8"/>
  <c r="I261" i="8" s="1"/>
  <c r="J261" i="8" s="1"/>
  <c r="H262" i="8"/>
  <c r="H263" i="8"/>
  <c r="H264" i="8"/>
  <c r="H265" i="8"/>
  <c r="H266" i="8"/>
  <c r="H267" i="8"/>
  <c r="H268" i="8"/>
  <c r="H269" i="8"/>
  <c r="I269" i="8" s="1"/>
  <c r="J269" i="8" s="1"/>
  <c r="H270" i="8"/>
  <c r="H271" i="8"/>
  <c r="H272" i="8"/>
  <c r="H273" i="8"/>
  <c r="H274" i="8"/>
  <c r="H275" i="8"/>
  <c r="H276" i="8"/>
  <c r="H277" i="8"/>
  <c r="I277" i="8" s="1"/>
  <c r="J277" i="8" s="1"/>
  <c r="H278" i="8"/>
  <c r="H279" i="8"/>
  <c r="H280" i="8"/>
  <c r="H281" i="8"/>
  <c r="H282" i="8"/>
  <c r="H283" i="8"/>
  <c r="H284" i="8"/>
  <c r="H285" i="8"/>
  <c r="I285" i="8" s="1"/>
  <c r="J285" i="8" s="1"/>
  <c r="H286" i="8"/>
  <c r="H287" i="8"/>
  <c r="H288" i="8"/>
  <c r="H289" i="8"/>
  <c r="H290" i="8"/>
  <c r="H291" i="8"/>
  <c r="H292" i="8"/>
  <c r="H293" i="8"/>
  <c r="I293" i="8" s="1"/>
  <c r="J293" i="8" s="1"/>
  <c r="H294" i="8"/>
  <c r="H295" i="8"/>
  <c r="H296" i="8"/>
  <c r="H297" i="8"/>
  <c r="H298" i="8"/>
  <c r="H299" i="8"/>
  <c r="H300" i="8"/>
  <c r="H301" i="8"/>
  <c r="I301" i="8" s="1"/>
  <c r="J301" i="8" s="1"/>
  <c r="H302" i="8"/>
  <c r="H303" i="8"/>
  <c r="H304" i="8"/>
  <c r="H305" i="8"/>
  <c r="H306" i="8"/>
  <c r="H307" i="8"/>
  <c r="H308" i="8"/>
  <c r="H309" i="8"/>
  <c r="I309" i="8" s="1"/>
  <c r="J309" i="8" s="1"/>
  <c r="H310" i="8"/>
  <c r="H311" i="8"/>
  <c r="H312" i="8"/>
  <c r="H313" i="8"/>
  <c r="H314" i="8"/>
  <c r="H315" i="8"/>
  <c r="H316" i="8"/>
  <c r="H317" i="8"/>
  <c r="I317" i="8" s="1"/>
  <c r="J317" i="8" s="1"/>
  <c r="H318" i="8"/>
  <c r="H319" i="8"/>
  <c r="H320" i="8"/>
  <c r="H321" i="8"/>
  <c r="H322" i="8"/>
  <c r="H323" i="8"/>
  <c r="H324" i="8"/>
  <c r="H325" i="8"/>
  <c r="I325" i="8" s="1"/>
  <c r="J325" i="8" s="1"/>
  <c r="H326" i="8"/>
  <c r="H327" i="8"/>
  <c r="H328" i="8"/>
  <c r="H329" i="8"/>
  <c r="H330" i="8"/>
  <c r="H331" i="8"/>
  <c r="H332" i="8"/>
  <c r="H333" i="8"/>
  <c r="I333" i="8" s="1"/>
  <c r="J333" i="8" s="1"/>
  <c r="H334" i="8"/>
  <c r="H335" i="8"/>
  <c r="H336" i="8"/>
  <c r="H337" i="8"/>
  <c r="H338" i="8"/>
  <c r="H339" i="8"/>
  <c r="H340" i="8"/>
  <c r="H341" i="8"/>
  <c r="I341" i="8" s="1"/>
  <c r="J341" i="8" s="1"/>
  <c r="H342" i="8"/>
  <c r="H343" i="8"/>
  <c r="H344" i="8"/>
  <c r="H345" i="8"/>
  <c r="H346" i="8"/>
  <c r="H347" i="8"/>
  <c r="H348" i="8"/>
  <c r="H349" i="8"/>
  <c r="I349" i="8" s="1"/>
  <c r="J349" i="8" s="1"/>
  <c r="H350" i="8"/>
  <c r="H351" i="8"/>
  <c r="H352" i="8"/>
  <c r="H353" i="8"/>
  <c r="H354" i="8"/>
  <c r="H355" i="8"/>
  <c r="H356" i="8"/>
  <c r="H357" i="8"/>
  <c r="I357" i="8" s="1"/>
  <c r="J357" i="8" s="1"/>
  <c r="H358" i="8"/>
  <c r="H359" i="8"/>
  <c r="H360" i="8"/>
  <c r="H361" i="8"/>
  <c r="H362" i="8"/>
  <c r="H363" i="8"/>
  <c r="H364" i="8"/>
  <c r="H365" i="8"/>
  <c r="I365" i="8" s="1"/>
  <c r="J365" i="8" s="1"/>
  <c r="H366" i="8"/>
  <c r="H367" i="8"/>
  <c r="I367" i="8" s="1"/>
  <c r="J367" i="8" s="1"/>
  <c r="H2" i="8"/>
  <c r="G367" i="8"/>
  <c r="G366" i="8"/>
  <c r="G365" i="8"/>
  <c r="G364" i="8"/>
  <c r="I364" i="8"/>
  <c r="J364" i="8" s="1"/>
  <c r="G363" i="8"/>
  <c r="G362" i="8"/>
  <c r="G361" i="8"/>
  <c r="I361" i="8"/>
  <c r="J361" i="8" s="1"/>
  <c r="G360" i="8"/>
  <c r="I360" i="8"/>
  <c r="G359" i="8"/>
  <c r="G358" i="8"/>
  <c r="G357" i="8"/>
  <c r="G356" i="8"/>
  <c r="G355" i="8"/>
  <c r="G354" i="8"/>
  <c r="G353" i="8"/>
  <c r="G352" i="8"/>
  <c r="I352" i="8"/>
  <c r="G351" i="8"/>
  <c r="G350" i="8"/>
  <c r="G349" i="8"/>
  <c r="G348" i="8"/>
  <c r="G347" i="8"/>
  <c r="G346" i="8"/>
  <c r="G345" i="8"/>
  <c r="G344" i="8"/>
  <c r="I344" i="8"/>
  <c r="G343" i="8"/>
  <c r="G342" i="8"/>
  <c r="G341" i="8"/>
  <c r="G340" i="8"/>
  <c r="I340" i="8"/>
  <c r="J340" i="8" s="1"/>
  <c r="G339" i="8"/>
  <c r="G338" i="8"/>
  <c r="G337" i="8"/>
  <c r="I337" i="8"/>
  <c r="J337" i="8" s="1"/>
  <c r="G336" i="8"/>
  <c r="I336" i="8"/>
  <c r="J336" i="8" s="1"/>
  <c r="G335" i="8"/>
  <c r="G334" i="8"/>
  <c r="G333" i="8"/>
  <c r="G332" i="8"/>
  <c r="I332" i="8"/>
  <c r="J332" i="8" s="1"/>
  <c r="G331" i="8"/>
  <c r="G330" i="8"/>
  <c r="G329" i="8"/>
  <c r="G328" i="8"/>
  <c r="I328" i="8"/>
  <c r="J328" i="8" s="1"/>
  <c r="G327" i="8"/>
  <c r="G326" i="8"/>
  <c r="G325" i="8"/>
  <c r="G324" i="8"/>
  <c r="I324" i="8"/>
  <c r="J324" i="8" s="1"/>
  <c r="G323" i="8"/>
  <c r="G322" i="8"/>
  <c r="G321" i="8"/>
  <c r="I321" i="8"/>
  <c r="J321" i="8" s="1"/>
  <c r="G320" i="8"/>
  <c r="I320" i="8"/>
  <c r="J320" i="8" s="1"/>
  <c r="G319" i="8"/>
  <c r="G318" i="8"/>
  <c r="G317" i="8"/>
  <c r="G316" i="8"/>
  <c r="I316" i="8"/>
  <c r="J316" i="8" s="1"/>
  <c r="G315" i="8"/>
  <c r="G314" i="8"/>
  <c r="G313" i="8"/>
  <c r="G312" i="8"/>
  <c r="I312" i="8"/>
  <c r="J312" i="8" s="1"/>
  <c r="G311" i="8"/>
  <c r="G310" i="8"/>
  <c r="G309" i="8"/>
  <c r="G308" i="8"/>
  <c r="I308" i="8"/>
  <c r="J308" i="8" s="1"/>
  <c r="G307" i="8"/>
  <c r="G306" i="8"/>
  <c r="G305" i="8"/>
  <c r="I305" i="8"/>
  <c r="J305" i="8" s="1"/>
  <c r="G304" i="8"/>
  <c r="I304" i="8"/>
  <c r="J304" i="8" s="1"/>
  <c r="G303" i="8"/>
  <c r="G302" i="8"/>
  <c r="G301" i="8"/>
  <c r="G300" i="8"/>
  <c r="I300" i="8"/>
  <c r="J300" i="8" s="1"/>
  <c r="G299" i="8"/>
  <c r="G298" i="8"/>
  <c r="G297" i="8"/>
  <c r="G296" i="8"/>
  <c r="I296" i="8"/>
  <c r="J296" i="8" s="1"/>
  <c r="G295" i="8"/>
  <c r="G294" i="8"/>
  <c r="G293" i="8"/>
  <c r="G292" i="8"/>
  <c r="I292" i="8"/>
  <c r="J292" i="8" s="1"/>
  <c r="G291" i="8"/>
  <c r="G290" i="8"/>
  <c r="G289" i="8"/>
  <c r="I289" i="8"/>
  <c r="J289" i="8" s="1"/>
  <c r="G288" i="8"/>
  <c r="I288" i="8"/>
  <c r="J288" i="8" s="1"/>
  <c r="G287" i="8"/>
  <c r="G286" i="8"/>
  <c r="G285" i="8"/>
  <c r="G284" i="8"/>
  <c r="I284" i="8"/>
  <c r="J284" i="8" s="1"/>
  <c r="G283" i="8"/>
  <c r="G282" i="8"/>
  <c r="G281" i="8"/>
  <c r="G280" i="8"/>
  <c r="I280" i="8"/>
  <c r="J280" i="8" s="1"/>
  <c r="G279" i="8"/>
  <c r="G278" i="8"/>
  <c r="G277" i="8"/>
  <c r="G276" i="8"/>
  <c r="I276" i="8"/>
  <c r="J276" i="8" s="1"/>
  <c r="G275" i="8"/>
  <c r="G274" i="8"/>
  <c r="G273" i="8"/>
  <c r="I273" i="8"/>
  <c r="J273" i="8" s="1"/>
  <c r="G272" i="8"/>
  <c r="I272" i="8"/>
  <c r="J272" i="8" s="1"/>
  <c r="G271" i="8"/>
  <c r="G270" i="8"/>
  <c r="G269" i="8"/>
  <c r="G268" i="8"/>
  <c r="I268" i="8"/>
  <c r="J268" i="8" s="1"/>
  <c r="G267" i="8"/>
  <c r="G266" i="8"/>
  <c r="G265" i="8"/>
  <c r="G264" i="8"/>
  <c r="I264" i="8"/>
  <c r="J264" i="8" s="1"/>
  <c r="G263" i="8"/>
  <c r="G262" i="8"/>
  <c r="G261" i="8"/>
  <c r="G260" i="8"/>
  <c r="I260" i="8"/>
  <c r="J260" i="8" s="1"/>
  <c r="G259" i="8"/>
  <c r="G258" i="8"/>
  <c r="G257" i="8"/>
  <c r="I257" i="8"/>
  <c r="J257" i="8" s="1"/>
  <c r="G256" i="8"/>
  <c r="I256" i="8"/>
  <c r="J256" i="8" s="1"/>
  <c r="G255" i="8"/>
  <c r="G254" i="8"/>
  <c r="G253" i="8"/>
  <c r="G252" i="8"/>
  <c r="I252" i="8"/>
  <c r="J252" i="8" s="1"/>
  <c r="G251" i="8"/>
  <c r="G250" i="8"/>
  <c r="G249" i="8"/>
  <c r="G248" i="8"/>
  <c r="I248" i="8"/>
  <c r="J248" i="8" s="1"/>
  <c r="G247" i="8"/>
  <c r="G246" i="8"/>
  <c r="G245" i="8"/>
  <c r="G244" i="8"/>
  <c r="I244" i="8"/>
  <c r="J244" i="8" s="1"/>
  <c r="G243" i="8"/>
  <c r="G242" i="8"/>
  <c r="G241" i="8"/>
  <c r="I241" i="8"/>
  <c r="J241" i="8" s="1"/>
  <c r="G240" i="8"/>
  <c r="I240" i="8"/>
  <c r="J240" i="8" s="1"/>
  <c r="G239" i="8"/>
  <c r="G238" i="8"/>
  <c r="G237" i="8"/>
  <c r="G236" i="8"/>
  <c r="I236" i="8"/>
  <c r="J236" i="8" s="1"/>
  <c r="G235" i="8"/>
  <c r="G234" i="8"/>
  <c r="G233" i="8"/>
  <c r="G232" i="8"/>
  <c r="I232" i="8"/>
  <c r="J232" i="8" s="1"/>
  <c r="G231" i="8"/>
  <c r="G230" i="8"/>
  <c r="G229" i="8"/>
  <c r="G228" i="8"/>
  <c r="I228" i="8"/>
  <c r="J228" i="8" s="1"/>
  <c r="G227" i="8"/>
  <c r="G226" i="8"/>
  <c r="G225" i="8"/>
  <c r="I225" i="8"/>
  <c r="J225" i="8" s="1"/>
  <c r="G224" i="8"/>
  <c r="I224" i="8"/>
  <c r="J224" i="8" s="1"/>
  <c r="G223" i="8"/>
  <c r="G222" i="8"/>
  <c r="G221" i="8"/>
  <c r="G220" i="8"/>
  <c r="I220" i="8"/>
  <c r="J220" i="8" s="1"/>
  <c r="G219" i="8"/>
  <c r="G218" i="8"/>
  <c r="G217" i="8"/>
  <c r="G216" i="8"/>
  <c r="I216" i="8"/>
  <c r="J216" i="8" s="1"/>
  <c r="G215" i="8"/>
  <c r="G214" i="8"/>
  <c r="G213" i="8"/>
  <c r="G212" i="8"/>
  <c r="I212" i="8"/>
  <c r="J212" i="8" s="1"/>
  <c r="G211" i="8"/>
  <c r="G210" i="8"/>
  <c r="G209" i="8"/>
  <c r="I209" i="8"/>
  <c r="J209" i="8" s="1"/>
  <c r="G208" i="8"/>
  <c r="I208" i="8"/>
  <c r="J208" i="8" s="1"/>
  <c r="G207" i="8"/>
  <c r="G206" i="8"/>
  <c r="G205" i="8"/>
  <c r="G204" i="8"/>
  <c r="I204" i="8"/>
  <c r="J204" i="8" s="1"/>
  <c r="G203" i="8"/>
  <c r="G202" i="8"/>
  <c r="G201" i="8"/>
  <c r="G200" i="8"/>
  <c r="I200" i="8"/>
  <c r="J200" i="8" s="1"/>
  <c r="G199" i="8"/>
  <c r="G198" i="8"/>
  <c r="G197" i="8"/>
  <c r="G196" i="8"/>
  <c r="I196" i="8"/>
  <c r="J196" i="8" s="1"/>
  <c r="G195" i="8"/>
  <c r="G194" i="8"/>
  <c r="G193" i="8"/>
  <c r="I193" i="8"/>
  <c r="J193" i="8" s="1"/>
  <c r="G192" i="8"/>
  <c r="I192" i="8"/>
  <c r="J192" i="8" s="1"/>
  <c r="G191" i="8"/>
  <c r="G190" i="8"/>
  <c r="G189" i="8"/>
  <c r="G188" i="8"/>
  <c r="I188" i="8"/>
  <c r="J188" i="8" s="1"/>
  <c r="G187" i="8"/>
  <c r="G186" i="8"/>
  <c r="G185" i="8"/>
  <c r="G184" i="8"/>
  <c r="I184" i="8"/>
  <c r="J184" i="8" s="1"/>
  <c r="G183" i="8"/>
  <c r="G182" i="8"/>
  <c r="G181" i="8"/>
  <c r="G180" i="8"/>
  <c r="I180" i="8"/>
  <c r="J180" i="8" s="1"/>
  <c r="G179" i="8"/>
  <c r="G178" i="8"/>
  <c r="G177" i="8"/>
  <c r="I177" i="8"/>
  <c r="J177" i="8" s="1"/>
  <c r="G176" i="8"/>
  <c r="I176" i="8"/>
  <c r="J176" i="8" s="1"/>
  <c r="G175" i="8"/>
  <c r="G174" i="8"/>
  <c r="G173" i="8"/>
  <c r="G172" i="8"/>
  <c r="I172" i="8"/>
  <c r="J172" i="8" s="1"/>
  <c r="G171" i="8"/>
  <c r="G170" i="8"/>
  <c r="G169" i="8"/>
  <c r="G168" i="8"/>
  <c r="I168" i="8"/>
  <c r="J168" i="8" s="1"/>
  <c r="G167" i="8"/>
  <c r="G166" i="8"/>
  <c r="G165" i="8"/>
  <c r="G164" i="8"/>
  <c r="I164" i="8"/>
  <c r="J164" i="8" s="1"/>
  <c r="G163" i="8"/>
  <c r="G162" i="8"/>
  <c r="G161" i="8"/>
  <c r="I161" i="8"/>
  <c r="J161" i="8" s="1"/>
  <c r="G160" i="8"/>
  <c r="I160" i="8"/>
  <c r="J160" i="8" s="1"/>
  <c r="G159" i="8"/>
  <c r="G158" i="8"/>
  <c r="G157" i="8"/>
  <c r="G156" i="8"/>
  <c r="I156" i="8"/>
  <c r="J156" i="8" s="1"/>
  <c r="G155" i="8"/>
  <c r="G154" i="8"/>
  <c r="G153" i="8"/>
  <c r="G152" i="8"/>
  <c r="I152" i="8"/>
  <c r="J152" i="8" s="1"/>
  <c r="G151" i="8"/>
  <c r="G150" i="8"/>
  <c r="G149" i="8"/>
  <c r="G148" i="8"/>
  <c r="I148" i="8"/>
  <c r="J148" i="8" s="1"/>
  <c r="G147" i="8"/>
  <c r="G146" i="8"/>
  <c r="G145" i="8"/>
  <c r="I145" i="8"/>
  <c r="J145" i="8" s="1"/>
  <c r="G144" i="8"/>
  <c r="I144" i="8"/>
  <c r="J144" i="8" s="1"/>
  <c r="G143" i="8"/>
  <c r="G142" i="8"/>
  <c r="G141" i="8"/>
  <c r="G140" i="8"/>
  <c r="I140" i="8"/>
  <c r="J140" i="8" s="1"/>
  <c r="G139" i="8"/>
  <c r="G138" i="8"/>
  <c r="G137" i="8"/>
  <c r="G136" i="8"/>
  <c r="I136" i="8"/>
  <c r="J136" i="8" s="1"/>
  <c r="G135" i="8"/>
  <c r="I135" i="8"/>
  <c r="J135" i="8" s="1"/>
  <c r="G134" i="8"/>
  <c r="G133" i="8"/>
  <c r="G132" i="8"/>
  <c r="I132" i="8"/>
  <c r="J132" i="8" s="1"/>
  <c r="G131" i="8"/>
  <c r="G130" i="8"/>
  <c r="G129" i="8"/>
  <c r="G128" i="8"/>
  <c r="I128" i="8"/>
  <c r="J128" i="8" s="1"/>
  <c r="G127" i="8"/>
  <c r="I127" i="8"/>
  <c r="J127" i="8" s="1"/>
  <c r="G126" i="8"/>
  <c r="G125" i="8"/>
  <c r="G124" i="8"/>
  <c r="I124" i="8"/>
  <c r="J124" i="8" s="1"/>
  <c r="G123" i="8"/>
  <c r="G122" i="8"/>
  <c r="G121" i="8"/>
  <c r="I121" i="8"/>
  <c r="J121" i="8" s="1"/>
  <c r="G120" i="8"/>
  <c r="I120" i="8"/>
  <c r="J120" i="8" s="1"/>
  <c r="G119" i="8"/>
  <c r="I119" i="8"/>
  <c r="J119" i="8" s="1"/>
  <c r="G118" i="8"/>
  <c r="G117" i="8"/>
  <c r="G116" i="8"/>
  <c r="I116" i="8"/>
  <c r="J116" i="8" s="1"/>
  <c r="G115" i="8"/>
  <c r="G114" i="8"/>
  <c r="G113" i="8"/>
  <c r="I113" i="8"/>
  <c r="J113" i="8" s="1"/>
  <c r="G112" i="8"/>
  <c r="I112" i="8"/>
  <c r="J112" i="8" s="1"/>
  <c r="G111" i="8"/>
  <c r="I111" i="8"/>
  <c r="J111" i="8" s="1"/>
  <c r="G110" i="8"/>
  <c r="G109" i="8"/>
  <c r="G108" i="8"/>
  <c r="I108" i="8"/>
  <c r="J108" i="8" s="1"/>
  <c r="G107" i="8"/>
  <c r="G106" i="8"/>
  <c r="G105" i="8"/>
  <c r="G104" i="8"/>
  <c r="I104" i="8"/>
  <c r="J104" i="8" s="1"/>
  <c r="G103" i="8"/>
  <c r="I103" i="8"/>
  <c r="J103" i="8" s="1"/>
  <c r="G102" i="8"/>
  <c r="G101" i="8"/>
  <c r="G100" i="8"/>
  <c r="I100" i="8"/>
  <c r="J100" i="8" s="1"/>
  <c r="G99" i="8"/>
  <c r="G98" i="8"/>
  <c r="G97" i="8"/>
  <c r="G96" i="8"/>
  <c r="I96" i="8"/>
  <c r="J96" i="8" s="1"/>
  <c r="G95" i="8"/>
  <c r="I95" i="8"/>
  <c r="J95" i="8" s="1"/>
  <c r="G94" i="8"/>
  <c r="G93" i="8"/>
  <c r="G92" i="8"/>
  <c r="I92" i="8"/>
  <c r="J92" i="8" s="1"/>
  <c r="G91" i="8"/>
  <c r="G90" i="8"/>
  <c r="G89" i="8"/>
  <c r="I89" i="8"/>
  <c r="J89" i="8" s="1"/>
  <c r="G88" i="8"/>
  <c r="I88" i="8"/>
  <c r="J88" i="8" s="1"/>
  <c r="G87" i="8"/>
  <c r="I87" i="8"/>
  <c r="J87" i="8" s="1"/>
  <c r="G86" i="8"/>
  <c r="G85" i="8"/>
  <c r="G84" i="8"/>
  <c r="I84" i="8"/>
  <c r="J84" i="8" s="1"/>
  <c r="G83" i="8"/>
  <c r="G82" i="8"/>
  <c r="G81" i="8"/>
  <c r="I81" i="8"/>
  <c r="J81" i="8" s="1"/>
  <c r="G80" i="8"/>
  <c r="I80" i="8"/>
  <c r="J80" i="8" s="1"/>
  <c r="G79" i="8"/>
  <c r="I79" i="8"/>
  <c r="J79" i="8" s="1"/>
  <c r="G78" i="8"/>
  <c r="G77" i="8"/>
  <c r="G76" i="8"/>
  <c r="I76" i="8"/>
  <c r="J76" i="8" s="1"/>
  <c r="G75" i="8"/>
  <c r="G74" i="8"/>
  <c r="G73" i="8"/>
  <c r="G72" i="8"/>
  <c r="I72" i="8"/>
  <c r="J72" i="8" s="1"/>
  <c r="G71" i="8"/>
  <c r="I71" i="8"/>
  <c r="J71" i="8" s="1"/>
  <c r="G70" i="8"/>
  <c r="G69" i="8"/>
  <c r="G68" i="8"/>
  <c r="I68" i="8"/>
  <c r="J68" i="8" s="1"/>
  <c r="G67" i="8"/>
  <c r="G66" i="8"/>
  <c r="G65" i="8"/>
  <c r="G64" i="8"/>
  <c r="I64" i="8"/>
  <c r="J64" i="8" s="1"/>
  <c r="G63" i="8"/>
  <c r="I63" i="8"/>
  <c r="J63" i="8" s="1"/>
  <c r="G62" i="8"/>
  <c r="G61" i="8"/>
  <c r="G60" i="8"/>
  <c r="I60" i="8"/>
  <c r="J60" i="8" s="1"/>
  <c r="G59" i="8"/>
  <c r="G58" i="8"/>
  <c r="G57" i="8"/>
  <c r="I57" i="8"/>
  <c r="J57" i="8" s="1"/>
  <c r="G56" i="8"/>
  <c r="I56" i="8"/>
  <c r="J56" i="8" s="1"/>
  <c r="G55" i="8"/>
  <c r="I55" i="8"/>
  <c r="J55" i="8" s="1"/>
  <c r="G54" i="8"/>
  <c r="G53" i="8"/>
  <c r="G52" i="8"/>
  <c r="I52" i="8"/>
  <c r="J52" i="8" s="1"/>
  <c r="G51" i="8"/>
  <c r="G50" i="8"/>
  <c r="G49" i="8"/>
  <c r="I49" i="8"/>
  <c r="J49" i="8" s="1"/>
  <c r="G48" i="8"/>
  <c r="I48" i="8"/>
  <c r="J48" i="8" s="1"/>
  <c r="G47" i="8"/>
  <c r="I47" i="8"/>
  <c r="J47" i="8" s="1"/>
  <c r="G46" i="8"/>
  <c r="G45" i="8"/>
  <c r="G44" i="8"/>
  <c r="I44" i="8"/>
  <c r="J44" i="8" s="1"/>
  <c r="G43" i="8"/>
  <c r="G42" i="8"/>
  <c r="G41" i="8"/>
  <c r="G40" i="8"/>
  <c r="I40" i="8"/>
  <c r="J40" i="8" s="1"/>
  <c r="G39" i="8"/>
  <c r="I39" i="8"/>
  <c r="J39" i="8" s="1"/>
  <c r="G38" i="8"/>
  <c r="G37" i="8"/>
  <c r="G36" i="8"/>
  <c r="I36" i="8"/>
  <c r="J36" i="8" s="1"/>
  <c r="G35" i="8"/>
  <c r="G34" i="8"/>
  <c r="G33" i="8"/>
  <c r="G32" i="8"/>
  <c r="I32" i="8"/>
  <c r="J32" i="8" s="1"/>
  <c r="G31" i="8"/>
  <c r="I31" i="8"/>
  <c r="J31" i="8" s="1"/>
  <c r="G30" i="8"/>
  <c r="G29" i="8"/>
  <c r="G28" i="8"/>
  <c r="I28" i="8"/>
  <c r="J28" i="8" s="1"/>
  <c r="G27" i="8"/>
  <c r="G26" i="8"/>
  <c r="G25" i="8"/>
  <c r="I25" i="8"/>
  <c r="J25" i="8" s="1"/>
  <c r="G24" i="8"/>
  <c r="I24" i="8"/>
  <c r="J24" i="8" s="1"/>
  <c r="G23" i="8"/>
  <c r="I23" i="8"/>
  <c r="J23" i="8" s="1"/>
  <c r="G22" i="8"/>
  <c r="G21" i="8"/>
  <c r="G20" i="8"/>
  <c r="I20" i="8"/>
  <c r="J20" i="8" s="1"/>
  <c r="G19" i="8"/>
  <c r="G18" i="8"/>
  <c r="G17" i="8"/>
  <c r="I17" i="8"/>
  <c r="J17" i="8" s="1"/>
  <c r="G16" i="8"/>
  <c r="I16" i="8"/>
  <c r="J16" i="8" s="1"/>
  <c r="G15" i="8"/>
  <c r="I15" i="8"/>
  <c r="J15" i="8" s="1"/>
  <c r="G14" i="8"/>
  <c r="G13" i="8"/>
  <c r="G12" i="8"/>
  <c r="I12" i="8"/>
  <c r="J12" i="8" s="1"/>
  <c r="G11" i="8"/>
  <c r="G10" i="8"/>
  <c r="G9" i="8"/>
  <c r="G8" i="8"/>
  <c r="I8" i="8"/>
  <c r="J8" i="8" s="1"/>
  <c r="G7" i="8"/>
  <c r="I7" i="8"/>
  <c r="J7" i="8" s="1"/>
  <c r="G6" i="8"/>
  <c r="G5" i="8"/>
  <c r="G4" i="8"/>
  <c r="I4" i="8"/>
  <c r="J4" i="8" s="1"/>
  <c r="G3" i="8"/>
  <c r="G2" i="8"/>
  <c r="M366" i="9" l="1"/>
  <c r="M358" i="9"/>
  <c r="M350" i="9"/>
  <c r="M342" i="9"/>
  <c r="M334" i="9"/>
  <c r="M326" i="9"/>
  <c r="M318" i="9"/>
  <c r="M310" i="9"/>
  <c r="N310" i="9" s="1"/>
  <c r="M302" i="9"/>
  <c r="M294" i="9"/>
  <c r="M286" i="9"/>
  <c r="M278" i="9"/>
  <c r="M270" i="9"/>
  <c r="M262" i="9"/>
  <c r="M254" i="9"/>
  <c r="M246" i="9"/>
  <c r="N246" i="9" s="1"/>
  <c r="M238" i="9"/>
  <c r="M230" i="9"/>
  <c r="M222" i="9"/>
  <c r="M214" i="9"/>
  <c r="M206" i="9"/>
  <c r="M198" i="9"/>
  <c r="M190" i="9"/>
  <c r="M182" i="9"/>
  <c r="N182" i="9" s="1"/>
  <c r="M174" i="9"/>
  <c r="M166" i="9"/>
  <c r="M158" i="9"/>
  <c r="M150" i="9"/>
  <c r="M142" i="9"/>
  <c r="M134" i="9"/>
  <c r="M126" i="9"/>
  <c r="M118" i="9"/>
  <c r="N118" i="9" s="1"/>
  <c r="M110" i="9"/>
  <c r="M102" i="9"/>
  <c r="M94" i="9"/>
  <c r="M86" i="9"/>
  <c r="M78" i="9"/>
  <c r="M70" i="9"/>
  <c r="M62" i="9"/>
  <c r="M54" i="9"/>
  <c r="N54" i="9" s="1"/>
  <c r="M46" i="9"/>
  <c r="M38" i="9"/>
  <c r="M30" i="9"/>
  <c r="M22" i="9"/>
  <c r="M14" i="9"/>
  <c r="M6" i="9"/>
  <c r="J4" i="9"/>
  <c r="J12" i="9"/>
  <c r="J20" i="9"/>
  <c r="J28" i="9"/>
  <c r="J36" i="9"/>
  <c r="J44" i="9"/>
  <c r="J52" i="9"/>
  <c r="J60" i="9"/>
  <c r="J68" i="9"/>
  <c r="J76" i="9"/>
  <c r="J84" i="9"/>
  <c r="J92" i="9"/>
  <c r="J100" i="9"/>
  <c r="J108" i="9"/>
  <c r="J116" i="9"/>
  <c r="J124" i="9"/>
  <c r="J132" i="9"/>
  <c r="J140" i="9"/>
  <c r="J148" i="9"/>
  <c r="J156" i="9"/>
  <c r="J164" i="9"/>
  <c r="J172" i="9"/>
  <c r="J180" i="9"/>
  <c r="J188" i="9"/>
  <c r="J196" i="9"/>
  <c r="J204" i="9"/>
  <c r="J212" i="9"/>
  <c r="J220" i="9"/>
  <c r="J228" i="9"/>
  <c r="J236" i="9"/>
  <c r="J244" i="9"/>
  <c r="J252" i="9"/>
  <c r="J260" i="9"/>
  <c r="J268" i="9"/>
  <c r="J276" i="9"/>
  <c r="J284" i="9"/>
  <c r="J292" i="9"/>
  <c r="J300" i="9"/>
  <c r="J308" i="9"/>
  <c r="J316" i="9"/>
  <c r="J324" i="9"/>
  <c r="J332" i="9"/>
  <c r="J340" i="9"/>
  <c r="J348" i="9"/>
  <c r="J356" i="9"/>
  <c r="J364" i="9"/>
  <c r="M111" i="9"/>
  <c r="J9" i="9"/>
  <c r="J17" i="9"/>
  <c r="J25" i="9"/>
  <c r="N25" i="9" s="1"/>
  <c r="J33" i="9"/>
  <c r="J41" i="9"/>
  <c r="J49" i="9"/>
  <c r="J57" i="9"/>
  <c r="N57" i="9" s="1"/>
  <c r="J65" i="9"/>
  <c r="J73" i="9"/>
  <c r="J81" i="9"/>
  <c r="J89" i="9"/>
  <c r="N89" i="9" s="1"/>
  <c r="J97" i="9"/>
  <c r="J105" i="9"/>
  <c r="J113" i="9"/>
  <c r="N113" i="9" s="1"/>
  <c r="J121" i="9"/>
  <c r="N121" i="9" s="1"/>
  <c r="J129" i="9"/>
  <c r="J137" i="9"/>
  <c r="J145" i="9"/>
  <c r="J153" i="9"/>
  <c r="J161" i="9"/>
  <c r="J169" i="9"/>
  <c r="J177" i="9"/>
  <c r="J185" i="9"/>
  <c r="N185" i="9" s="1"/>
  <c r="J193" i="9"/>
  <c r="J201" i="9"/>
  <c r="J209" i="9"/>
  <c r="J217" i="9"/>
  <c r="N217" i="9" s="1"/>
  <c r="J225" i="9"/>
  <c r="J233" i="9"/>
  <c r="J241" i="9"/>
  <c r="N241" i="9" s="1"/>
  <c r="J249" i="9"/>
  <c r="J257" i="9"/>
  <c r="J265" i="9"/>
  <c r="J273" i="9"/>
  <c r="J281" i="9"/>
  <c r="N281" i="9" s="1"/>
  <c r="J289" i="9"/>
  <c r="J297" i="9"/>
  <c r="J305" i="9"/>
  <c r="J313" i="9"/>
  <c r="N313" i="9" s="1"/>
  <c r="J329" i="9"/>
  <c r="J337" i="9"/>
  <c r="J321" i="9"/>
  <c r="J341" i="9"/>
  <c r="J349" i="9"/>
  <c r="J357" i="9"/>
  <c r="J51" i="9"/>
  <c r="J59" i="9"/>
  <c r="J67" i="9"/>
  <c r="J75" i="9"/>
  <c r="J83" i="9"/>
  <c r="J91" i="9"/>
  <c r="J99" i="9"/>
  <c r="J107" i="9"/>
  <c r="J115" i="9"/>
  <c r="J123" i="9"/>
  <c r="J131" i="9"/>
  <c r="J139" i="9"/>
  <c r="J147" i="9"/>
  <c r="J155" i="9"/>
  <c r="J163" i="9"/>
  <c r="J171" i="9"/>
  <c r="J179" i="9"/>
  <c r="J187" i="9"/>
  <c r="J195" i="9"/>
  <c r="J203" i="9"/>
  <c r="J211" i="9"/>
  <c r="J219" i="9"/>
  <c r="J227" i="9"/>
  <c r="J235" i="9"/>
  <c r="J243" i="9"/>
  <c r="J251" i="9"/>
  <c r="J259" i="9"/>
  <c r="J267" i="9"/>
  <c r="J275" i="9"/>
  <c r="J283" i="9"/>
  <c r="J291" i="9"/>
  <c r="J299" i="9"/>
  <c r="J307" i="9"/>
  <c r="J315" i="9"/>
  <c r="J323" i="9"/>
  <c r="J331" i="9"/>
  <c r="J339" i="9"/>
  <c r="J347" i="9"/>
  <c r="N347" i="9" s="1"/>
  <c r="J355" i="9"/>
  <c r="J363" i="9"/>
  <c r="M365" i="9"/>
  <c r="M357" i="9"/>
  <c r="N357" i="9" s="1"/>
  <c r="M341" i="9"/>
  <c r="M333" i="9"/>
  <c r="N333" i="9" s="1"/>
  <c r="M325" i="9"/>
  <c r="M317" i="9"/>
  <c r="N317" i="9" s="1"/>
  <c r="M309" i="9"/>
  <c r="N309" i="9" s="1"/>
  <c r="M301" i="9"/>
  <c r="M293" i="9"/>
  <c r="N293" i="9" s="1"/>
  <c r="M285" i="9"/>
  <c r="N285" i="9" s="1"/>
  <c r="M277" i="9"/>
  <c r="N277" i="9" s="1"/>
  <c r="M269" i="9"/>
  <c r="N269" i="9" s="1"/>
  <c r="M261" i="9"/>
  <c r="M253" i="9"/>
  <c r="N253" i="9" s="1"/>
  <c r="M245" i="9"/>
  <c r="M237" i="9"/>
  <c r="N237" i="9" s="1"/>
  <c r="M229" i="9"/>
  <c r="M221" i="9"/>
  <c r="N221" i="9" s="1"/>
  <c r="M213" i="9"/>
  <c r="M205" i="9"/>
  <c r="N205" i="9" s="1"/>
  <c r="M197" i="9"/>
  <c r="M189" i="9"/>
  <c r="N189" i="9" s="1"/>
  <c r="M181" i="9"/>
  <c r="M173" i="9"/>
  <c r="M165" i="9"/>
  <c r="N165" i="9" s="1"/>
  <c r="M157" i="9"/>
  <c r="N157" i="9" s="1"/>
  <c r="M149" i="9"/>
  <c r="N149" i="9" s="1"/>
  <c r="M141" i="9"/>
  <c r="N141" i="9" s="1"/>
  <c r="M133" i="9"/>
  <c r="M125" i="9"/>
  <c r="N125" i="9" s="1"/>
  <c r="M117" i="9"/>
  <c r="M109" i="9"/>
  <c r="N109" i="9" s="1"/>
  <c r="M101" i="9"/>
  <c r="N101" i="9" s="1"/>
  <c r="M93" i="9"/>
  <c r="N93" i="9" s="1"/>
  <c r="M85" i="9"/>
  <c r="N85" i="9" s="1"/>
  <c r="M77" i="9"/>
  <c r="N77" i="9" s="1"/>
  <c r="M69" i="9"/>
  <c r="M61" i="9"/>
  <c r="N61" i="9" s="1"/>
  <c r="M53" i="9"/>
  <c r="N53" i="9" s="1"/>
  <c r="M45" i="9"/>
  <c r="M37" i="9"/>
  <c r="N37" i="9" s="1"/>
  <c r="M29" i="9"/>
  <c r="N29" i="9" s="1"/>
  <c r="M21" i="9"/>
  <c r="N21" i="9" s="1"/>
  <c r="M13" i="9"/>
  <c r="N13" i="9" s="1"/>
  <c r="M5" i="9"/>
  <c r="J365" i="9"/>
  <c r="N365" i="9" s="1"/>
  <c r="M331" i="9"/>
  <c r="J194" i="9"/>
  <c r="J130" i="9"/>
  <c r="M295" i="9"/>
  <c r="N295" i="9" s="1"/>
  <c r="M287" i="9"/>
  <c r="N287" i="9" s="1"/>
  <c r="M279" i="9"/>
  <c r="N279" i="9" s="1"/>
  <c r="M271" i="9"/>
  <c r="M263" i="9"/>
  <c r="N263" i="9" s="1"/>
  <c r="M255" i="9"/>
  <c r="N255" i="9" s="1"/>
  <c r="M247" i="9"/>
  <c r="M239" i="9"/>
  <c r="N239" i="9" s="1"/>
  <c r="M231" i="9"/>
  <c r="N231" i="9" s="1"/>
  <c r="M223" i="9"/>
  <c r="N223" i="9" s="1"/>
  <c r="M215" i="9"/>
  <c r="N215" i="9" s="1"/>
  <c r="M207" i="9"/>
  <c r="M199" i="9"/>
  <c r="N199" i="9" s="1"/>
  <c r="M191" i="9"/>
  <c r="M183" i="9"/>
  <c r="M175" i="9"/>
  <c r="M167" i="9"/>
  <c r="N167" i="9" s="1"/>
  <c r="M159" i="9"/>
  <c r="N159" i="9" s="1"/>
  <c r="M151" i="9"/>
  <c r="N151" i="9" s="1"/>
  <c r="M143" i="9"/>
  <c r="M135" i="9"/>
  <c r="N135" i="9" s="1"/>
  <c r="M127" i="9"/>
  <c r="M119" i="9"/>
  <c r="M103" i="9"/>
  <c r="M95" i="9"/>
  <c r="N95" i="9" s="1"/>
  <c r="M87" i="9"/>
  <c r="N87" i="9" s="1"/>
  <c r="M79" i="9"/>
  <c r="N79" i="9" s="1"/>
  <c r="M71" i="9"/>
  <c r="M63" i="9"/>
  <c r="N63" i="9" s="1"/>
  <c r="M55" i="9"/>
  <c r="M47" i="9"/>
  <c r="M39" i="9"/>
  <c r="N39" i="9" s="1"/>
  <c r="M31" i="9"/>
  <c r="N31" i="9" s="1"/>
  <c r="M23" i="9"/>
  <c r="N23" i="9" s="1"/>
  <c r="M15" i="9"/>
  <c r="N15" i="9" s="1"/>
  <c r="M7" i="9"/>
  <c r="M276" i="9"/>
  <c r="N276" i="9" s="1"/>
  <c r="M363" i="9"/>
  <c r="M347" i="9"/>
  <c r="M339" i="9"/>
  <c r="N339" i="9" s="1"/>
  <c r="M267" i="9"/>
  <c r="N267" i="9" s="1"/>
  <c r="M203" i="9"/>
  <c r="M139" i="9"/>
  <c r="N139" i="9" s="1"/>
  <c r="M75" i="9"/>
  <c r="M11" i="9"/>
  <c r="N11" i="9" s="1"/>
  <c r="M212" i="9"/>
  <c r="M312" i="9"/>
  <c r="M120" i="9"/>
  <c r="M56" i="9"/>
  <c r="J294" i="9"/>
  <c r="N294" i="9" s="1"/>
  <c r="M20" i="9"/>
  <c r="N20" i="9" s="1"/>
  <c r="M367" i="9"/>
  <c r="N367" i="9" s="1"/>
  <c r="M303" i="9"/>
  <c r="M340" i="9"/>
  <c r="M148" i="9"/>
  <c r="N148" i="9" s="1"/>
  <c r="M84" i="9"/>
  <c r="N84" i="9" s="1"/>
  <c r="J10" i="9"/>
  <c r="J18" i="9"/>
  <c r="J26" i="9"/>
  <c r="J34" i="9"/>
  <c r="J42" i="9"/>
  <c r="J50" i="9"/>
  <c r="J58" i="9"/>
  <c r="J66" i="9"/>
  <c r="J74" i="9"/>
  <c r="J82" i="9"/>
  <c r="J90" i="9"/>
  <c r="J98" i="9"/>
  <c r="J106" i="9"/>
  <c r="J114" i="9"/>
  <c r="J122" i="9"/>
  <c r="J138" i="9"/>
  <c r="J146" i="9"/>
  <c r="J154" i="9"/>
  <c r="J162" i="9"/>
  <c r="J170" i="9"/>
  <c r="J178" i="9"/>
  <c r="J186" i="9"/>
  <c r="J202" i="9"/>
  <c r="J210" i="9"/>
  <c r="J218" i="9"/>
  <c r="J226" i="9"/>
  <c r="J234" i="9"/>
  <c r="J242" i="9"/>
  <c r="J250" i="9"/>
  <c r="J258" i="9"/>
  <c r="J266" i="9"/>
  <c r="J274" i="9"/>
  <c r="N274" i="9" s="1"/>
  <c r="J282" i="9"/>
  <c r="J290" i="9"/>
  <c r="J298" i="9"/>
  <c r="J306" i="9"/>
  <c r="J314" i="9"/>
  <c r="J322" i="9"/>
  <c r="J330" i="9"/>
  <c r="J338" i="9"/>
  <c r="M349" i="9"/>
  <c r="N349" i="9" s="1"/>
  <c r="M362" i="9"/>
  <c r="M354" i="9"/>
  <c r="M346" i="9"/>
  <c r="M338" i="9"/>
  <c r="M330" i="9"/>
  <c r="M322" i="9"/>
  <c r="N322" i="9" s="1"/>
  <c r="M314" i="9"/>
  <c r="M306" i="9"/>
  <c r="M298" i="9"/>
  <c r="N298" i="9" s="1"/>
  <c r="M290" i="9"/>
  <c r="M282" i="9"/>
  <c r="M274" i="9"/>
  <c r="M266" i="9"/>
  <c r="N266" i="9" s="1"/>
  <c r="J2" i="9"/>
  <c r="J360" i="9"/>
  <c r="N360" i="9" s="1"/>
  <c r="J352" i="9"/>
  <c r="N352" i="9" s="1"/>
  <c r="J344" i="9"/>
  <c r="J336" i="9"/>
  <c r="N336" i="9" s="1"/>
  <c r="J328" i="9"/>
  <c r="J320" i="9"/>
  <c r="J345" i="9"/>
  <c r="N345" i="9" s="1"/>
  <c r="J353" i="9"/>
  <c r="N353" i="9" s="1"/>
  <c r="J361" i="9"/>
  <c r="N361" i="9" s="1"/>
  <c r="J346" i="9"/>
  <c r="J354" i="9"/>
  <c r="J362" i="9"/>
  <c r="M351" i="9"/>
  <c r="M343" i="9"/>
  <c r="N343" i="9" s="1"/>
  <c r="M335" i="9"/>
  <c r="M364" i="9"/>
  <c r="N364" i="9" s="1"/>
  <c r="M356" i="9"/>
  <c r="N356" i="9" s="1"/>
  <c r="M348" i="9"/>
  <c r="M332" i="9"/>
  <c r="M324" i="9"/>
  <c r="N324" i="9" s="1"/>
  <c r="M316" i="9"/>
  <c r="N316" i="9" s="1"/>
  <c r="M308" i="9"/>
  <c r="N308" i="9" s="1"/>
  <c r="M300" i="9"/>
  <c r="M292" i="9"/>
  <c r="N292" i="9" s="1"/>
  <c r="M284" i="9"/>
  <c r="M268" i="9"/>
  <c r="M260" i="9"/>
  <c r="N260" i="9" s="1"/>
  <c r="M252" i="9"/>
  <c r="M244" i="9"/>
  <c r="N244" i="9" s="1"/>
  <c r="M236" i="9"/>
  <c r="N236" i="9" s="1"/>
  <c r="M228" i="9"/>
  <c r="M220" i="9"/>
  <c r="M204" i="9"/>
  <c r="M196" i="9"/>
  <c r="M188" i="9"/>
  <c r="N188" i="9" s="1"/>
  <c r="M180" i="9"/>
  <c r="M172" i="9"/>
  <c r="N172" i="9" s="1"/>
  <c r="M164" i="9"/>
  <c r="N164" i="9" s="1"/>
  <c r="M156" i="9"/>
  <c r="N156" i="9" s="1"/>
  <c r="M140" i="9"/>
  <c r="M132" i="9"/>
  <c r="N132" i="9" s="1"/>
  <c r="M124" i="9"/>
  <c r="N124" i="9" s="1"/>
  <c r="M116" i="9"/>
  <c r="N116" i="9" s="1"/>
  <c r="M108" i="9"/>
  <c r="M100" i="9"/>
  <c r="N100" i="9" s="1"/>
  <c r="M92" i="9"/>
  <c r="N92" i="9" s="1"/>
  <c r="M76" i="9"/>
  <c r="M68" i="9"/>
  <c r="N68" i="9" s="1"/>
  <c r="M60" i="9"/>
  <c r="N60" i="9" s="1"/>
  <c r="M52" i="9"/>
  <c r="N52" i="9" s="1"/>
  <c r="M44" i="9"/>
  <c r="N44" i="9" s="1"/>
  <c r="M36" i="9"/>
  <c r="N36" i="9" s="1"/>
  <c r="M28" i="9"/>
  <c r="N28" i="9" s="1"/>
  <c r="M12" i="9"/>
  <c r="M4" i="9"/>
  <c r="N4" i="9" s="1"/>
  <c r="M355" i="9"/>
  <c r="N355" i="9" s="1"/>
  <c r="M323" i="9"/>
  <c r="M315" i="9"/>
  <c r="M307" i="9"/>
  <c r="M299" i="9"/>
  <c r="N299" i="9" s="1"/>
  <c r="M291" i="9"/>
  <c r="N291" i="9" s="1"/>
  <c r="M283" i="9"/>
  <c r="M275" i="9"/>
  <c r="M259" i="9"/>
  <c r="M251" i="9"/>
  <c r="M243" i="9"/>
  <c r="M235" i="9"/>
  <c r="M227" i="9"/>
  <c r="N227" i="9" s="1"/>
  <c r="M219" i="9"/>
  <c r="M211" i="9"/>
  <c r="N211" i="9" s="1"/>
  <c r="M195" i="9"/>
  <c r="M187" i="9"/>
  <c r="M179" i="9"/>
  <c r="M171" i="9"/>
  <c r="M163" i="9"/>
  <c r="N163" i="9" s="1"/>
  <c r="M155" i="9"/>
  <c r="M147" i="9"/>
  <c r="N147" i="9" s="1"/>
  <c r="M131" i="9"/>
  <c r="N131" i="9" s="1"/>
  <c r="M123" i="9"/>
  <c r="M115" i="9"/>
  <c r="M107" i="9"/>
  <c r="N107" i="9" s="1"/>
  <c r="M99" i="9"/>
  <c r="M91" i="9"/>
  <c r="N91" i="9" s="1"/>
  <c r="M83" i="9"/>
  <c r="N83" i="9" s="1"/>
  <c r="M67" i="9"/>
  <c r="N67" i="9" s="1"/>
  <c r="M59" i="9"/>
  <c r="N59" i="9" s="1"/>
  <c r="M51" i="9"/>
  <c r="M43" i="9"/>
  <c r="N43" i="9" s="1"/>
  <c r="M35" i="9"/>
  <c r="M27" i="9"/>
  <c r="M19" i="9"/>
  <c r="N19" i="9" s="1"/>
  <c r="M3" i="9"/>
  <c r="N3" i="9" s="1"/>
  <c r="J312" i="9"/>
  <c r="J304" i="9"/>
  <c r="N304" i="9" s="1"/>
  <c r="J296" i="9"/>
  <c r="J288" i="9"/>
  <c r="N288" i="9" s="1"/>
  <c r="J280" i="9"/>
  <c r="N280" i="9" s="1"/>
  <c r="J272" i="9"/>
  <c r="J264" i="9"/>
  <c r="N264" i="9" s="1"/>
  <c r="J256" i="9"/>
  <c r="N256" i="9" s="1"/>
  <c r="J248" i="9"/>
  <c r="N248" i="9" s="1"/>
  <c r="J240" i="9"/>
  <c r="N240" i="9" s="1"/>
  <c r="J232" i="9"/>
  <c r="J224" i="9"/>
  <c r="J216" i="9"/>
  <c r="N216" i="9" s="1"/>
  <c r="J208" i="9"/>
  <c r="J200" i="9"/>
  <c r="N200" i="9" s="1"/>
  <c r="J192" i="9"/>
  <c r="N192" i="9" s="1"/>
  <c r="J184" i="9"/>
  <c r="N184" i="9" s="1"/>
  <c r="J176" i="9"/>
  <c r="N176" i="9" s="1"/>
  <c r="J168" i="9"/>
  <c r="J160" i="9"/>
  <c r="N160" i="9" s="1"/>
  <c r="J152" i="9"/>
  <c r="J144" i="9"/>
  <c r="N144" i="9" s="1"/>
  <c r="J136" i="9"/>
  <c r="N136" i="9" s="1"/>
  <c r="J128" i="9"/>
  <c r="N128" i="9" s="1"/>
  <c r="J120" i="9"/>
  <c r="J112" i="9"/>
  <c r="N112" i="9" s="1"/>
  <c r="J104" i="9"/>
  <c r="J96" i="9"/>
  <c r="N96" i="9" s="1"/>
  <c r="J88" i="9"/>
  <c r="N88" i="9" s="1"/>
  <c r="J80" i="9"/>
  <c r="J72" i="9"/>
  <c r="N72" i="9" s="1"/>
  <c r="J64" i="9"/>
  <c r="N64" i="9" s="1"/>
  <c r="J56" i="9"/>
  <c r="J48" i="9"/>
  <c r="N48" i="9" s="1"/>
  <c r="J40" i="9"/>
  <c r="N40" i="9" s="1"/>
  <c r="J32" i="9"/>
  <c r="N32" i="9" s="1"/>
  <c r="J24" i="9"/>
  <c r="N24" i="9" s="1"/>
  <c r="J16" i="9"/>
  <c r="J8" i="9"/>
  <c r="N8" i="9" s="1"/>
  <c r="M258" i="9"/>
  <c r="N258" i="9" s="1"/>
  <c r="M250" i="9"/>
  <c r="M242" i="9"/>
  <c r="M234" i="9"/>
  <c r="N234" i="9" s="1"/>
  <c r="M226" i="9"/>
  <c r="M218" i="9"/>
  <c r="M210" i="9"/>
  <c r="M202" i="9"/>
  <c r="M194" i="9"/>
  <c r="N194" i="9" s="1"/>
  <c r="M186" i="9"/>
  <c r="N186" i="9" s="1"/>
  <c r="M178" i="9"/>
  <c r="N178" i="9" s="1"/>
  <c r="M170" i="9"/>
  <c r="M162" i="9"/>
  <c r="N162" i="9" s="1"/>
  <c r="M154" i="9"/>
  <c r="M146" i="9"/>
  <c r="M138" i="9"/>
  <c r="M130" i="9"/>
  <c r="N130" i="9" s="1"/>
  <c r="M122" i="9"/>
  <c r="M114" i="9"/>
  <c r="M106" i="9"/>
  <c r="N106" i="9" s="1"/>
  <c r="M98" i="9"/>
  <c r="M90" i="9"/>
  <c r="N90" i="9" s="1"/>
  <c r="M82" i="9"/>
  <c r="M74" i="9"/>
  <c r="M66" i="9"/>
  <c r="M58" i="9"/>
  <c r="N289" i="9"/>
  <c r="N225" i="9"/>
  <c r="N161" i="9"/>
  <c r="N97" i="9"/>
  <c r="N33" i="9"/>
  <c r="M34" i="9"/>
  <c r="M26" i="9"/>
  <c r="N26" i="9" s="1"/>
  <c r="M2" i="9"/>
  <c r="N2" i="9" s="1"/>
  <c r="M42" i="9"/>
  <c r="M18" i="9"/>
  <c r="M10" i="9"/>
  <c r="M50" i="9"/>
  <c r="N363" i="9"/>
  <c r="N344" i="9"/>
  <c r="N335" i="9"/>
  <c r="N326" i="9"/>
  <c r="N271" i="9"/>
  <c r="N262" i="9"/>
  <c r="N207" i="9"/>
  <c r="N198" i="9"/>
  <c r="N171" i="9"/>
  <c r="N152" i="9"/>
  <c r="N143" i="9"/>
  <c r="N134" i="9"/>
  <c r="N70" i="9"/>
  <c r="N6" i="9"/>
  <c r="N337" i="9"/>
  <c r="N328" i="9"/>
  <c r="N319" i="9"/>
  <c r="N301" i="9"/>
  <c r="N273" i="9"/>
  <c r="N228" i="9"/>
  <c r="N209" i="9"/>
  <c r="N191" i="9"/>
  <c r="N173" i="9"/>
  <c r="N145" i="9"/>
  <c r="N127" i="9"/>
  <c r="N81" i="9"/>
  <c r="N45" i="9"/>
  <c r="N27" i="9"/>
  <c r="N17" i="9"/>
  <c r="N327" i="9"/>
  <c r="N318" i="9"/>
  <c r="N300" i="9"/>
  <c r="N272" i="9"/>
  <c r="N254" i="9"/>
  <c r="N245" i="9"/>
  <c r="N208" i="9"/>
  <c r="N190" i="9"/>
  <c r="N181" i="9"/>
  <c r="N153" i="9"/>
  <c r="N126" i="9"/>
  <c r="N117" i="9"/>
  <c r="N99" i="9"/>
  <c r="N80" i="9"/>
  <c r="N71" i="9"/>
  <c r="N62" i="9"/>
  <c r="N35" i="9"/>
  <c r="N16" i="9"/>
  <c r="N7" i="9"/>
  <c r="N334" i="9"/>
  <c r="N325" i="9"/>
  <c r="N297" i="9"/>
  <c r="N270" i="9"/>
  <c r="N261" i="9"/>
  <c r="N233" i="9"/>
  <c r="N224" i="9"/>
  <c r="N206" i="9"/>
  <c r="N197" i="9"/>
  <c r="N169" i="9"/>
  <c r="N142" i="9"/>
  <c r="N133" i="9"/>
  <c r="N105" i="9"/>
  <c r="N78" i="9"/>
  <c r="N69" i="9"/>
  <c r="N51" i="9"/>
  <c r="N41" i="9"/>
  <c r="N14" i="9"/>
  <c r="N5" i="9"/>
  <c r="N351" i="9"/>
  <c r="N342" i="9"/>
  <c r="N305" i="9"/>
  <c r="N296" i="9"/>
  <c r="N278" i="9"/>
  <c r="N232" i="9"/>
  <c r="N214" i="9"/>
  <c r="N196" i="9"/>
  <c r="N177" i="9"/>
  <c r="N168" i="9"/>
  <c r="N150" i="9"/>
  <c r="N104" i="9"/>
  <c r="N86" i="9"/>
  <c r="N49" i="9"/>
  <c r="N22" i="9"/>
  <c r="N359" i="9"/>
  <c r="N350" i="9"/>
  <c r="N286" i="9"/>
  <c r="N249" i="9"/>
  <c r="N222" i="9"/>
  <c r="N213" i="9"/>
  <c r="N158" i="9"/>
  <c r="N103" i="9"/>
  <c r="N94" i="9"/>
  <c r="N30" i="9"/>
  <c r="N358" i="9"/>
  <c r="N340" i="9"/>
  <c r="N321" i="9"/>
  <c r="N303" i="9"/>
  <c r="N257" i="9"/>
  <c r="N230" i="9"/>
  <c r="N212" i="9"/>
  <c r="N193" i="9"/>
  <c r="N175" i="9"/>
  <c r="N166" i="9"/>
  <c r="N129" i="9"/>
  <c r="N111" i="9"/>
  <c r="N102" i="9"/>
  <c r="N65" i="9"/>
  <c r="N47" i="9"/>
  <c r="N38" i="9"/>
  <c r="N366" i="9"/>
  <c r="N348" i="9"/>
  <c r="N329" i="9"/>
  <c r="N320" i="9"/>
  <c r="N311" i="9"/>
  <c r="N302" i="9"/>
  <c r="N284" i="9"/>
  <c r="N275" i="9"/>
  <c r="N265" i="9"/>
  <c r="N247" i="9"/>
  <c r="N238" i="9"/>
  <c r="N229" i="9"/>
  <c r="N220" i="9"/>
  <c r="N201" i="9"/>
  <c r="N183" i="9"/>
  <c r="N174" i="9"/>
  <c r="N137" i="9"/>
  <c r="N119" i="9"/>
  <c r="N110" i="9"/>
  <c r="N73" i="9"/>
  <c r="N55" i="9"/>
  <c r="N46" i="9"/>
  <c r="N9" i="9"/>
  <c r="I110" i="8"/>
  <c r="J110" i="8" s="1"/>
  <c r="I102" i="8"/>
  <c r="J102" i="8" s="1"/>
  <c r="I94" i="8"/>
  <c r="J94" i="8" s="1"/>
  <c r="I86" i="8"/>
  <c r="J86" i="8" s="1"/>
  <c r="I78" i="8"/>
  <c r="J78" i="8" s="1"/>
  <c r="I70" i="8"/>
  <c r="J70" i="8" s="1"/>
  <c r="I62" i="8"/>
  <c r="J62" i="8" s="1"/>
  <c r="I54" i="8"/>
  <c r="J54" i="8" s="1"/>
  <c r="I46" i="8"/>
  <c r="J46" i="8" s="1"/>
  <c r="I38" i="8"/>
  <c r="J38" i="8" s="1"/>
  <c r="I30" i="8"/>
  <c r="J30" i="8" s="1"/>
  <c r="I22" i="8"/>
  <c r="J22" i="8" s="1"/>
  <c r="I14" i="8"/>
  <c r="J14" i="8" s="1"/>
  <c r="I6" i="8"/>
  <c r="J6" i="8" s="1"/>
  <c r="I114" i="8"/>
  <c r="J114" i="8" s="1"/>
  <c r="I106" i="8"/>
  <c r="J106" i="8" s="1"/>
  <c r="I98" i="8"/>
  <c r="J98" i="8" s="1"/>
  <c r="I90" i="8"/>
  <c r="J90" i="8" s="1"/>
  <c r="I82" i="8"/>
  <c r="J82" i="8" s="1"/>
  <c r="I74" i="8"/>
  <c r="J74" i="8" s="1"/>
  <c r="I66" i="8"/>
  <c r="J66" i="8" s="1"/>
  <c r="I58" i="8"/>
  <c r="J58" i="8" s="1"/>
  <c r="I50" i="8"/>
  <c r="J50" i="8" s="1"/>
  <c r="I42" i="8"/>
  <c r="J42" i="8" s="1"/>
  <c r="I34" i="8"/>
  <c r="J34" i="8" s="1"/>
  <c r="I26" i="8"/>
  <c r="J26" i="8" s="1"/>
  <c r="I18" i="8"/>
  <c r="J18" i="8" s="1"/>
  <c r="I10" i="8"/>
  <c r="J10" i="8" s="1"/>
  <c r="I223" i="8"/>
  <c r="J223" i="8" s="1"/>
  <c r="I227" i="8"/>
  <c r="J227" i="8" s="1"/>
  <c r="I231" i="8"/>
  <c r="J231" i="8" s="1"/>
  <c r="I235" i="8"/>
  <c r="J235" i="8" s="1"/>
  <c r="I239" i="8"/>
  <c r="J239" i="8" s="1"/>
  <c r="I243" i="8"/>
  <c r="J243" i="8" s="1"/>
  <c r="I247" i="8"/>
  <c r="J247" i="8" s="1"/>
  <c r="I251" i="8"/>
  <c r="J251" i="8" s="1"/>
  <c r="I255" i="8"/>
  <c r="J255" i="8" s="1"/>
  <c r="I259" i="8"/>
  <c r="J259" i="8" s="1"/>
  <c r="I263" i="8"/>
  <c r="J263" i="8" s="1"/>
  <c r="I267" i="8"/>
  <c r="J267" i="8" s="1"/>
  <c r="I271" i="8"/>
  <c r="J271" i="8" s="1"/>
  <c r="I275" i="8"/>
  <c r="J275" i="8" s="1"/>
  <c r="I279" i="8"/>
  <c r="J279" i="8" s="1"/>
  <c r="I283" i="8"/>
  <c r="J283" i="8" s="1"/>
  <c r="I287" i="8"/>
  <c r="J287" i="8" s="1"/>
  <c r="I291" i="8"/>
  <c r="J291" i="8" s="1"/>
  <c r="I295" i="8"/>
  <c r="J295" i="8" s="1"/>
  <c r="I299" i="8"/>
  <c r="J299" i="8" s="1"/>
  <c r="I303" i="8"/>
  <c r="J303" i="8" s="1"/>
  <c r="I307" i="8"/>
  <c r="J307" i="8" s="1"/>
  <c r="I311" i="8"/>
  <c r="J311" i="8" s="1"/>
  <c r="I315" i="8"/>
  <c r="J315" i="8" s="1"/>
  <c r="I319" i="8"/>
  <c r="J319" i="8" s="1"/>
  <c r="I323" i="8"/>
  <c r="J323" i="8" s="1"/>
  <c r="I327" i="8"/>
  <c r="J327" i="8" s="1"/>
  <c r="I331" i="8"/>
  <c r="J331" i="8" s="1"/>
  <c r="I335" i="8"/>
  <c r="J335" i="8" s="1"/>
  <c r="I339" i="8"/>
  <c r="J339" i="8" s="1"/>
  <c r="I343" i="8"/>
  <c r="J343" i="8" s="1"/>
  <c r="I347" i="8"/>
  <c r="J347" i="8" s="1"/>
  <c r="I351" i="8"/>
  <c r="J351" i="8" s="1"/>
  <c r="I355" i="8"/>
  <c r="J355" i="8" s="1"/>
  <c r="I359" i="8"/>
  <c r="J359" i="8" s="1"/>
  <c r="I363" i="8"/>
  <c r="J363" i="8" s="1"/>
  <c r="I2" i="8"/>
  <c r="J2" i="8" s="1"/>
  <c r="I139" i="8"/>
  <c r="J139" i="8" s="1"/>
  <c r="I143" i="8"/>
  <c r="J143" i="8" s="1"/>
  <c r="I147" i="8"/>
  <c r="J147" i="8" s="1"/>
  <c r="I151" i="8"/>
  <c r="J151" i="8" s="1"/>
  <c r="I155" i="8"/>
  <c r="J155" i="8" s="1"/>
  <c r="I159" i="8"/>
  <c r="J159" i="8" s="1"/>
  <c r="I163" i="8"/>
  <c r="J163" i="8" s="1"/>
  <c r="I167" i="8"/>
  <c r="J167" i="8" s="1"/>
  <c r="I171" i="8"/>
  <c r="J171" i="8" s="1"/>
  <c r="I175" i="8"/>
  <c r="J175" i="8" s="1"/>
  <c r="I179" i="8"/>
  <c r="J179" i="8" s="1"/>
  <c r="I183" i="8"/>
  <c r="J183" i="8" s="1"/>
  <c r="I187" i="8"/>
  <c r="J187" i="8" s="1"/>
  <c r="I191" i="8"/>
  <c r="J191" i="8" s="1"/>
  <c r="I195" i="8"/>
  <c r="J195" i="8" s="1"/>
  <c r="I199" i="8"/>
  <c r="J199" i="8" s="1"/>
  <c r="I203" i="8"/>
  <c r="J203" i="8" s="1"/>
  <c r="I207" i="8"/>
  <c r="J207" i="8" s="1"/>
  <c r="I211" i="8"/>
  <c r="J211" i="8" s="1"/>
  <c r="I215" i="8"/>
  <c r="J215" i="8" s="1"/>
  <c r="I219" i="8"/>
  <c r="J219" i="8" s="1"/>
  <c r="I118" i="8"/>
  <c r="J118" i="8" s="1"/>
  <c r="I122" i="8"/>
  <c r="J122" i="8" s="1"/>
  <c r="I126" i="8"/>
  <c r="J126" i="8" s="1"/>
  <c r="I130" i="8"/>
  <c r="J130" i="8" s="1"/>
  <c r="I134" i="8"/>
  <c r="J134" i="8" s="1"/>
  <c r="I138" i="8"/>
  <c r="J138" i="8" s="1"/>
  <c r="I142" i="8"/>
  <c r="J142" i="8" s="1"/>
  <c r="I146" i="8"/>
  <c r="J146" i="8" s="1"/>
  <c r="I150" i="8"/>
  <c r="J150" i="8" s="1"/>
  <c r="I154" i="8"/>
  <c r="J154" i="8" s="1"/>
  <c r="I158" i="8"/>
  <c r="J158" i="8" s="1"/>
  <c r="I162" i="8"/>
  <c r="J162" i="8" s="1"/>
  <c r="I166" i="8"/>
  <c r="J166" i="8" s="1"/>
  <c r="I170" i="8"/>
  <c r="J170" i="8" s="1"/>
  <c r="I174" i="8"/>
  <c r="J174" i="8" s="1"/>
  <c r="I178" i="8"/>
  <c r="J178" i="8" s="1"/>
  <c r="I182" i="8"/>
  <c r="J182" i="8" s="1"/>
  <c r="I186" i="8"/>
  <c r="J186" i="8" s="1"/>
  <c r="I190" i="8"/>
  <c r="J190" i="8" s="1"/>
  <c r="I194" i="8"/>
  <c r="J194" i="8" s="1"/>
  <c r="I198" i="8"/>
  <c r="J198" i="8" s="1"/>
  <c r="I202" i="8"/>
  <c r="J202" i="8" s="1"/>
  <c r="I206" i="8"/>
  <c r="J206" i="8" s="1"/>
  <c r="I210" i="8"/>
  <c r="J210" i="8" s="1"/>
  <c r="I214" i="8"/>
  <c r="J214" i="8" s="1"/>
  <c r="I218" i="8"/>
  <c r="J218" i="8" s="1"/>
  <c r="I222" i="8"/>
  <c r="J222" i="8" s="1"/>
  <c r="I226" i="8"/>
  <c r="J226" i="8" s="1"/>
  <c r="I230" i="8"/>
  <c r="J230" i="8" s="1"/>
  <c r="I234" i="8"/>
  <c r="J234" i="8" s="1"/>
  <c r="I238" i="8"/>
  <c r="J238" i="8" s="1"/>
  <c r="I242" i="8"/>
  <c r="J242" i="8" s="1"/>
  <c r="I246" i="8"/>
  <c r="J246" i="8" s="1"/>
  <c r="I250" i="8"/>
  <c r="J250" i="8" s="1"/>
  <c r="I254" i="8"/>
  <c r="J254" i="8" s="1"/>
  <c r="I258" i="8"/>
  <c r="J258" i="8" s="1"/>
  <c r="I262" i="8"/>
  <c r="J262" i="8" s="1"/>
  <c r="I266" i="8"/>
  <c r="J266" i="8" s="1"/>
  <c r="I270" i="8"/>
  <c r="J270" i="8" s="1"/>
  <c r="I274" i="8"/>
  <c r="J274" i="8" s="1"/>
  <c r="I278" i="8"/>
  <c r="J278" i="8" s="1"/>
  <c r="I282" i="8"/>
  <c r="J282" i="8" s="1"/>
  <c r="I286" i="8"/>
  <c r="J286" i="8" s="1"/>
  <c r="I290" i="8"/>
  <c r="J290" i="8" s="1"/>
  <c r="I294" i="8"/>
  <c r="J294" i="8" s="1"/>
  <c r="I298" i="8"/>
  <c r="J298" i="8" s="1"/>
  <c r="I302" i="8"/>
  <c r="J302" i="8" s="1"/>
  <c r="I306" i="8"/>
  <c r="J306" i="8" s="1"/>
  <c r="I310" i="8"/>
  <c r="J310" i="8" s="1"/>
  <c r="I314" i="8"/>
  <c r="J314" i="8" s="1"/>
  <c r="I318" i="8"/>
  <c r="J318" i="8" s="1"/>
  <c r="I322" i="8"/>
  <c r="J322" i="8" s="1"/>
  <c r="I326" i="8"/>
  <c r="J326" i="8" s="1"/>
  <c r="I330" i="8"/>
  <c r="J330" i="8" s="1"/>
  <c r="I334" i="8"/>
  <c r="J334" i="8" s="1"/>
  <c r="I338" i="8"/>
  <c r="J338" i="8" s="1"/>
  <c r="I342" i="8"/>
  <c r="J342" i="8" s="1"/>
  <c r="I346" i="8"/>
  <c r="J346" i="8" s="1"/>
  <c r="I350" i="8"/>
  <c r="I354" i="8"/>
  <c r="I358" i="8"/>
  <c r="J358" i="8" s="1"/>
  <c r="I362" i="8"/>
  <c r="J362" i="8" s="1"/>
  <c r="I366" i="8"/>
  <c r="J366" i="8" s="1"/>
  <c r="I356" i="8"/>
  <c r="J356" i="8" s="1"/>
  <c r="J350" i="8"/>
  <c r="I348" i="8"/>
  <c r="J348" i="8" s="1"/>
  <c r="J360" i="8"/>
  <c r="J352" i="8"/>
  <c r="J344" i="8"/>
  <c r="J354" i="8"/>
  <c r="N268" i="9" l="1"/>
  <c r="N332" i="9"/>
  <c r="N204" i="9"/>
  <c r="N170" i="9"/>
  <c r="N140" i="9"/>
  <c r="N341" i="9"/>
  <c r="N242" i="9"/>
  <c r="N76" i="9"/>
  <c r="N315" i="9"/>
  <c r="N187" i="9"/>
  <c r="N123" i="9"/>
  <c r="N12" i="9"/>
  <c r="N243" i="9"/>
  <c r="N115" i="9"/>
  <c r="N56" i="9"/>
  <c r="N312" i="9"/>
  <c r="N219" i="9"/>
  <c r="N283" i="9"/>
  <c r="N74" i="9"/>
  <c r="N155" i="9"/>
  <c r="N108" i="9"/>
  <c r="N180" i="9"/>
  <c r="N252" i="9"/>
  <c r="N50" i="9"/>
  <c r="N210" i="9"/>
  <c r="N235" i="9"/>
  <c r="N307" i="9"/>
  <c r="N202" i="9"/>
  <c r="N120" i="9"/>
  <c r="N179" i="9"/>
  <c r="N251" i="9"/>
  <c r="N306" i="9"/>
  <c r="N331" i="9"/>
  <c r="N330" i="9"/>
  <c r="N114" i="9"/>
  <c r="N314" i="9"/>
  <c r="N323" i="9"/>
  <c r="N259" i="9"/>
  <c r="N195" i="9"/>
  <c r="N146" i="9"/>
  <c r="N203" i="9"/>
  <c r="N82" i="9"/>
  <c r="N138" i="9"/>
  <c r="N218" i="9"/>
  <c r="N42" i="9"/>
  <c r="N98" i="9"/>
  <c r="N226" i="9"/>
  <c r="N10" i="9"/>
  <c r="N34" i="9"/>
  <c r="N58" i="9"/>
  <c r="N122" i="9"/>
  <c r="N250" i="9"/>
  <c r="N75" i="9"/>
  <c r="N18" i="9"/>
  <c r="N154" i="9"/>
  <c r="N338" i="9"/>
  <c r="N282" i="9"/>
  <c r="N66" i="9"/>
  <c r="N290" i="9"/>
  <c r="N346" i="9"/>
  <c r="N354" i="9"/>
  <c r="N362" i="9"/>
</calcChain>
</file>

<file path=xl/sharedStrings.xml><?xml version="1.0" encoding="utf-8"?>
<sst xmlns="http://schemas.openxmlformats.org/spreadsheetml/2006/main" count="57" uniqueCount="28">
  <si>
    <t xml:space="preserve">                                                                                                       Washington, DC  20392-5420     </t>
  </si>
  <si>
    <t xml:space="preserve">                                                                                                                                      </t>
  </si>
  <si>
    <t xml:space="preserve">       Jan.       Feb.       Mar.       Apr.       May        June       July       Aug.       Sept.      Oct.       Nov.       Dec.  </t>
  </si>
  <si>
    <t>JulDay</t>
  </si>
  <si>
    <t>Date</t>
  </si>
  <si>
    <t xml:space="preserve">                                                         Eastern Standard Time                                                        </t>
  </si>
  <si>
    <t>Day</t>
  </si>
  <si>
    <t>Rise</t>
  </si>
  <si>
    <t>Set</t>
  </si>
  <si>
    <t xml:space="preserve">             o  ,    o  ,                               PLYMOUTH, NEW HAMPSHIRE                        Astronomical Applications Dept.</t>
  </si>
  <si>
    <t xml:space="preserve">Location: W071 41, N43 46                          Rise and Set for the Sun for 2012                   U. S. Naval Observatory        </t>
  </si>
  <si>
    <t>minutes after sunrise for target</t>
  </si>
  <si>
    <t>sunrise.min</t>
  </si>
  <si>
    <t>target.min</t>
  </si>
  <si>
    <t>sunrise.hhmm.GMT-4</t>
  </si>
  <si>
    <t>sunset.hhmm.GMT-4</t>
  </si>
  <si>
    <t>DaylightSavingsTime</t>
  </si>
  <si>
    <t>sunrise.h.local</t>
  </si>
  <si>
    <t>sunset.h.local</t>
  </si>
  <si>
    <t>target.h.local</t>
  </si>
  <si>
    <t>sunset.min</t>
  </si>
  <si>
    <t>daylength.h</t>
  </si>
  <si>
    <t>surise</t>
  </si>
  <si>
    <t>sunset</t>
  </si>
  <si>
    <t>Date.excel</t>
  </si>
  <si>
    <t>SolarDay</t>
  </si>
  <si>
    <t>sunrise.hhmm.GMT4</t>
  </si>
  <si>
    <t>sunset.hhmm.GMT4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</si>
</sst>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;@"/>
  </numFmts>
  <fonts count="4">
    <font>
      <sz val="10"/>
      <name val="Arial"/>
    </font>
    <font>
      <sz val="10"/>
      <name val="Courier New"/>
      <family val="3"/>
    </font>
    <font>
      <sz val="10"/>
      <name val="Arial Unicode MS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18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daylength!$N$1</c:f>
              <c:strCache>
                <c:ptCount val="1"/>
                <c:pt idx="0">
                  <c:v>daylength.h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daylength!$C$2:$C$367</c:f>
              <c:numCache>
                <c:formatCode>[$-409]d\-mmm;@</c:formatCode>
                <c:ptCount val="366"/>
                <c:pt idx="0">
                  <c:v>40544</c:v>
                </c:pt>
                <c:pt idx="1">
                  <c:v>40545</c:v>
                </c:pt>
                <c:pt idx="2">
                  <c:v>40546</c:v>
                </c:pt>
                <c:pt idx="3">
                  <c:v>40547</c:v>
                </c:pt>
                <c:pt idx="4">
                  <c:v>40548</c:v>
                </c:pt>
                <c:pt idx="5">
                  <c:v>40549</c:v>
                </c:pt>
                <c:pt idx="6">
                  <c:v>40550</c:v>
                </c:pt>
                <c:pt idx="7">
                  <c:v>40551</c:v>
                </c:pt>
                <c:pt idx="8">
                  <c:v>40552</c:v>
                </c:pt>
                <c:pt idx="9">
                  <c:v>40553</c:v>
                </c:pt>
                <c:pt idx="10">
                  <c:v>40554</c:v>
                </c:pt>
                <c:pt idx="11">
                  <c:v>40555</c:v>
                </c:pt>
                <c:pt idx="12">
                  <c:v>40556</c:v>
                </c:pt>
                <c:pt idx="13">
                  <c:v>40557</c:v>
                </c:pt>
                <c:pt idx="14">
                  <c:v>40558</c:v>
                </c:pt>
                <c:pt idx="15">
                  <c:v>40559</c:v>
                </c:pt>
                <c:pt idx="16">
                  <c:v>40560</c:v>
                </c:pt>
                <c:pt idx="17">
                  <c:v>40561</c:v>
                </c:pt>
                <c:pt idx="18">
                  <c:v>40562</c:v>
                </c:pt>
                <c:pt idx="19">
                  <c:v>40563</c:v>
                </c:pt>
                <c:pt idx="20">
                  <c:v>40564</c:v>
                </c:pt>
                <c:pt idx="21">
                  <c:v>40565</c:v>
                </c:pt>
                <c:pt idx="22">
                  <c:v>40566</c:v>
                </c:pt>
                <c:pt idx="23">
                  <c:v>40567</c:v>
                </c:pt>
                <c:pt idx="24">
                  <c:v>40568</c:v>
                </c:pt>
                <c:pt idx="25">
                  <c:v>40569</c:v>
                </c:pt>
                <c:pt idx="26">
                  <c:v>40570</c:v>
                </c:pt>
                <c:pt idx="27">
                  <c:v>40571</c:v>
                </c:pt>
                <c:pt idx="28">
                  <c:v>40572</c:v>
                </c:pt>
                <c:pt idx="29">
                  <c:v>40573</c:v>
                </c:pt>
                <c:pt idx="30">
                  <c:v>40574</c:v>
                </c:pt>
                <c:pt idx="31">
                  <c:v>40575</c:v>
                </c:pt>
                <c:pt idx="32">
                  <c:v>40576</c:v>
                </c:pt>
                <c:pt idx="33">
                  <c:v>40577</c:v>
                </c:pt>
                <c:pt idx="34">
                  <c:v>40578</c:v>
                </c:pt>
                <c:pt idx="35">
                  <c:v>40579</c:v>
                </c:pt>
                <c:pt idx="36">
                  <c:v>40580</c:v>
                </c:pt>
                <c:pt idx="37">
                  <c:v>40581</c:v>
                </c:pt>
                <c:pt idx="38">
                  <c:v>40582</c:v>
                </c:pt>
                <c:pt idx="39">
                  <c:v>40583</c:v>
                </c:pt>
                <c:pt idx="40">
                  <c:v>40584</c:v>
                </c:pt>
                <c:pt idx="41">
                  <c:v>40585</c:v>
                </c:pt>
                <c:pt idx="42">
                  <c:v>40586</c:v>
                </c:pt>
                <c:pt idx="43">
                  <c:v>40587</c:v>
                </c:pt>
                <c:pt idx="44">
                  <c:v>40588</c:v>
                </c:pt>
                <c:pt idx="45">
                  <c:v>40589</c:v>
                </c:pt>
                <c:pt idx="46">
                  <c:v>40590</c:v>
                </c:pt>
                <c:pt idx="47">
                  <c:v>40591</c:v>
                </c:pt>
                <c:pt idx="48">
                  <c:v>40592</c:v>
                </c:pt>
                <c:pt idx="49">
                  <c:v>40593</c:v>
                </c:pt>
                <c:pt idx="50">
                  <c:v>40594</c:v>
                </c:pt>
                <c:pt idx="51">
                  <c:v>40595</c:v>
                </c:pt>
                <c:pt idx="52">
                  <c:v>40596</c:v>
                </c:pt>
                <c:pt idx="53">
                  <c:v>40597</c:v>
                </c:pt>
                <c:pt idx="54">
                  <c:v>40598</c:v>
                </c:pt>
                <c:pt idx="55">
                  <c:v>40599</c:v>
                </c:pt>
                <c:pt idx="56">
                  <c:v>40600</c:v>
                </c:pt>
                <c:pt idx="57">
                  <c:v>40601</c:v>
                </c:pt>
                <c:pt idx="58">
                  <c:v>40602</c:v>
                </c:pt>
                <c:pt idx="59">
                  <c:v>40603</c:v>
                </c:pt>
                <c:pt idx="60">
                  <c:v>40604</c:v>
                </c:pt>
                <c:pt idx="61">
                  <c:v>40605</c:v>
                </c:pt>
                <c:pt idx="62">
                  <c:v>40606</c:v>
                </c:pt>
                <c:pt idx="63">
                  <c:v>40607</c:v>
                </c:pt>
                <c:pt idx="64">
                  <c:v>40608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40614</c:v>
                </c:pt>
                <c:pt idx="71">
                  <c:v>40615</c:v>
                </c:pt>
                <c:pt idx="72">
                  <c:v>40616</c:v>
                </c:pt>
                <c:pt idx="73">
                  <c:v>40617</c:v>
                </c:pt>
                <c:pt idx="74">
                  <c:v>40618</c:v>
                </c:pt>
                <c:pt idx="75">
                  <c:v>40619</c:v>
                </c:pt>
                <c:pt idx="76">
                  <c:v>40620</c:v>
                </c:pt>
                <c:pt idx="77">
                  <c:v>40621</c:v>
                </c:pt>
                <c:pt idx="78">
                  <c:v>40622</c:v>
                </c:pt>
                <c:pt idx="79">
                  <c:v>40623</c:v>
                </c:pt>
                <c:pt idx="80">
                  <c:v>40624</c:v>
                </c:pt>
                <c:pt idx="81">
                  <c:v>40625</c:v>
                </c:pt>
                <c:pt idx="82">
                  <c:v>40626</c:v>
                </c:pt>
                <c:pt idx="83">
                  <c:v>40627</c:v>
                </c:pt>
                <c:pt idx="84">
                  <c:v>40628</c:v>
                </c:pt>
                <c:pt idx="85">
                  <c:v>40629</c:v>
                </c:pt>
                <c:pt idx="86">
                  <c:v>40630</c:v>
                </c:pt>
                <c:pt idx="87">
                  <c:v>40631</c:v>
                </c:pt>
                <c:pt idx="88">
                  <c:v>40632</c:v>
                </c:pt>
                <c:pt idx="89">
                  <c:v>40633</c:v>
                </c:pt>
                <c:pt idx="90">
                  <c:v>40634</c:v>
                </c:pt>
                <c:pt idx="91">
                  <c:v>40635</c:v>
                </c:pt>
                <c:pt idx="92">
                  <c:v>40636</c:v>
                </c:pt>
                <c:pt idx="93">
                  <c:v>40637</c:v>
                </c:pt>
                <c:pt idx="94">
                  <c:v>40638</c:v>
                </c:pt>
                <c:pt idx="95">
                  <c:v>40639</c:v>
                </c:pt>
                <c:pt idx="96">
                  <c:v>40640</c:v>
                </c:pt>
                <c:pt idx="97">
                  <c:v>40641</c:v>
                </c:pt>
                <c:pt idx="98">
                  <c:v>40642</c:v>
                </c:pt>
                <c:pt idx="99">
                  <c:v>40643</c:v>
                </c:pt>
                <c:pt idx="100">
                  <c:v>40644</c:v>
                </c:pt>
                <c:pt idx="101">
                  <c:v>40645</c:v>
                </c:pt>
                <c:pt idx="102">
                  <c:v>40646</c:v>
                </c:pt>
                <c:pt idx="103">
                  <c:v>40647</c:v>
                </c:pt>
                <c:pt idx="104">
                  <c:v>40648</c:v>
                </c:pt>
                <c:pt idx="105">
                  <c:v>40649</c:v>
                </c:pt>
                <c:pt idx="106">
                  <c:v>40650</c:v>
                </c:pt>
                <c:pt idx="107">
                  <c:v>40651</c:v>
                </c:pt>
                <c:pt idx="108">
                  <c:v>40652</c:v>
                </c:pt>
                <c:pt idx="109">
                  <c:v>40653</c:v>
                </c:pt>
                <c:pt idx="110">
                  <c:v>40654</c:v>
                </c:pt>
                <c:pt idx="111">
                  <c:v>40655</c:v>
                </c:pt>
                <c:pt idx="112">
                  <c:v>40656</c:v>
                </c:pt>
                <c:pt idx="113">
                  <c:v>40657</c:v>
                </c:pt>
                <c:pt idx="114">
                  <c:v>40658</c:v>
                </c:pt>
                <c:pt idx="115">
                  <c:v>40659</c:v>
                </c:pt>
                <c:pt idx="116">
                  <c:v>40660</c:v>
                </c:pt>
                <c:pt idx="117">
                  <c:v>40661</c:v>
                </c:pt>
                <c:pt idx="118">
                  <c:v>40662</c:v>
                </c:pt>
                <c:pt idx="119">
                  <c:v>40663</c:v>
                </c:pt>
                <c:pt idx="120">
                  <c:v>40664</c:v>
                </c:pt>
                <c:pt idx="121">
                  <c:v>40665</c:v>
                </c:pt>
                <c:pt idx="122">
                  <c:v>40666</c:v>
                </c:pt>
                <c:pt idx="123">
                  <c:v>40667</c:v>
                </c:pt>
                <c:pt idx="124">
                  <c:v>40668</c:v>
                </c:pt>
                <c:pt idx="125">
                  <c:v>40669</c:v>
                </c:pt>
                <c:pt idx="126">
                  <c:v>40670</c:v>
                </c:pt>
                <c:pt idx="127">
                  <c:v>40671</c:v>
                </c:pt>
                <c:pt idx="128">
                  <c:v>40672</c:v>
                </c:pt>
                <c:pt idx="129">
                  <c:v>40673</c:v>
                </c:pt>
                <c:pt idx="130">
                  <c:v>40674</c:v>
                </c:pt>
                <c:pt idx="131">
                  <c:v>40675</c:v>
                </c:pt>
                <c:pt idx="132">
                  <c:v>40676</c:v>
                </c:pt>
                <c:pt idx="133">
                  <c:v>40677</c:v>
                </c:pt>
                <c:pt idx="134">
                  <c:v>40678</c:v>
                </c:pt>
                <c:pt idx="135">
                  <c:v>40679</c:v>
                </c:pt>
                <c:pt idx="136">
                  <c:v>40680</c:v>
                </c:pt>
                <c:pt idx="137">
                  <c:v>40681</c:v>
                </c:pt>
                <c:pt idx="138">
                  <c:v>40682</c:v>
                </c:pt>
                <c:pt idx="139">
                  <c:v>40683</c:v>
                </c:pt>
                <c:pt idx="140">
                  <c:v>40684</c:v>
                </c:pt>
                <c:pt idx="141">
                  <c:v>40685</c:v>
                </c:pt>
                <c:pt idx="142">
                  <c:v>40686</c:v>
                </c:pt>
                <c:pt idx="143">
                  <c:v>40687</c:v>
                </c:pt>
                <c:pt idx="144">
                  <c:v>40688</c:v>
                </c:pt>
                <c:pt idx="145">
                  <c:v>40689</c:v>
                </c:pt>
                <c:pt idx="146">
                  <c:v>40690</c:v>
                </c:pt>
                <c:pt idx="147">
                  <c:v>40691</c:v>
                </c:pt>
                <c:pt idx="148">
                  <c:v>40692</c:v>
                </c:pt>
                <c:pt idx="149">
                  <c:v>40693</c:v>
                </c:pt>
                <c:pt idx="150">
                  <c:v>40694</c:v>
                </c:pt>
                <c:pt idx="151">
                  <c:v>40695</c:v>
                </c:pt>
                <c:pt idx="152">
                  <c:v>40696</c:v>
                </c:pt>
                <c:pt idx="153">
                  <c:v>40697</c:v>
                </c:pt>
                <c:pt idx="154">
                  <c:v>40698</c:v>
                </c:pt>
                <c:pt idx="155">
                  <c:v>40699</c:v>
                </c:pt>
                <c:pt idx="156">
                  <c:v>40700</c:v>
                </c:pt>
                <c:pt idx="157">
                  <c:v>40701</c:v>
                </c:pt>
                <c:pt idx="158">
                  <c:v>40702</c:v>
                </c:pt>
                <c:pt idx="159">
                  <c:v>40703</c:v>
                </c:pt>
                <c:pt idx="160">
                  <c:v>40704</c:v>
                </c:pt>
                <c:pt idx="161">
                  <c:v>40705</c:v>
                </c:pt>
                <c:pt idx="162">
                  <c:v>40706</c:v>
                </c:pt>
                <c:pt idx="163">
                  <c:v>40707</c:v>
                </c:pt>
                <c:pt idx="164">
                  <c:v>40708</c:v>
                </c:pt>
                <c:pt idx="165">
                  <c:v>40709</c:v>
                </c:pt>
                <c:pt idx="166">
                  <c:v>40710</c:v>
                </c:pt>
                <c:pt idx="167">
                  <c:v>40711</c:v>
                </c:pt>
                <c:pt idx="168">
                  <c:v>40712</c:v>
                </c:pt>
                <c:pt idx="169">
                  <c:v>40713</c:v>
                </c:pt>
                <c:pt idx="170">
                  <c:v>40714</c:v>
                </c:pt>
                <c:pt idx="171">
                  <c:v>40715</c:v>
                </c:pt>
                <c:pt idx="172">
                  <c:v>40716</c:v>
                </c:pt>
                <c:pt idx="173">
                  <c:v>40717</c:v>
                </c:pt>
                <c:pt idx="174">
                  <c:v>40718</c:v>
                </c:pt>
                <c:pt idx="175">
                  <c:v>40719</c:v>
                </c:pt>
                <c:pt idx="176">
                  <c:v>40720</c:v>
                </c:pt>
                <c:pt idx="177">
                  <c:v>40721</c:v>
                </c:pt>
                <c:pt idx="178">
                  <c:v>40722</c:v>
                </c:pt>
                <c:pt idx="179">
                  <c:v>40723</c:v>
                </c:pt>
                <c:pt idx="180">
                  <c:v>40724</c:v>
                </c:pt>
                <c:pt idx="181">
                  <c:v>40725</c:v>
                </c:pt>
                <c:pt idx="182">
                  <c:v>40726</c:v>
                </c:pt>
                <c:pt idx="183">
                  <c:v>40727</c:v>
                </c:pt>
                <c:pt idx="184">
                  <c:v>40728</c:v>
                </c:pt>
                <c:pt idx="185">
                  <c:v>40729</c:v>
                </c:pt>
                <c:pt idx="186">
                  <c:v>40730</c:v>
                </c:pt>
                <c:pt idx="187">
                  <c:v>40731</c:v>
                </c:pt>
                <c:pt idx="188">
                  <c:v>40732</c:v>
                </c:pt>
                <c:pt idx="189">
                  <c:v>40733</c:v>
                </c:pt>
                <c:pt idx="190">
                  <c:v>40734</c:v>
                </c:pt>
                <c:pt idx="191">
                  <c:v>40735</c:v>
                </c:pt>
                <c:pt idx="192">
                  <c:v>40736</c:v>
                </c:pt>
                <c:pt idx="193">
                  <c:v>40737</c:v>
                </c:pt>
                <c:pt idx="194">
                  <c:v>40738</c:v>
                </c:pt>
                <c:pt idx="195">
                  <c:v>40739</c:v>
                </c:pt>
                <c:pt idx="196">
                  <c:v>40740</c:v>
                </c:pt>
                <c:pt idx="197">
                  <c:v>40741</c:v>
                </c:pt>
                <c:pt idx="198">
                  <c:v>40742</c:v>
                </c:pt>
                <c:pt idx="199">
                  <c:v>40743</c:v>
                </c:pt>
                <c:pt idx="200">
                  <c:v>40744</c:v>
                </c:pt>
                <c:pt idx="201">
                  <c:v>40745</c:v>
                </c:pt>
                <c:pt idx="202">
                  <c:v>40746</c:v>
                </c:pt>
                <c:pt idx="203">
                  <c:v>40747</c:v>
                </c:pt>
                <c:pt idx="204">
                  <c:v>40748</c:v>
                </c:pt>
                <c:pt idx="205">
                  <c:v>40749</c:v>
                </c:pt>
                <c:pt idx="206">
                  <c:v>40750</c:v>
                </c:pt>
                <c:pt idx="207">
                  <c:v>40751</c:v>
                </c:pt>
                <c:pt idx="208">
                  <c:v>40752</c:v>
                </c:pt>
                <c:pt idx="209">
                  <c:v>40753</c:v>
                </c:pt>
                <c:pt idx="210">
                  <c:v>40754</c:v>
                </c:pt>
                <c:pt idx="211">
                  <c:v>40755</c:v>
                </c:pt>
                <c:pt idx="212">
                  <c:v>40756</c:v>
                </c:pt>
                <c:pt idx="213">
                  <c:v>40757</c:v>
                </c:pt>
                <c:pt idx="214">
                  <c:v>40758</c:v>
                </c:pt>
                <c:pt idx="215">
                  <c:v>40759</c:v>
                </c:pt>
                <c:pt idx="216">
                  <c:v>40760</c:v>
                </c:pt>
                <c:pt idx="217">
                  <c:v>40761</c:v>
                </c:pt>
                <c:pt idx="218">
                  <c:v>40762</c:v>
                </c:pt>
                <c:pt idx="219">
                  <c:v>40763</c:v>
                </c:pt>
                <c:pt idx="220">
                  <c:v>40764</c:v>
                </c:pt>
                <c:pt idx="221">
                  <c:v>40765</c:v>
                </c:pt>
                <c:pt idx="222">
                  <c:v>40766</c:v>
                </c:pt>
                <c:pt idx="223">
                  <c:v>40767</c:v>
                </c:pt>
                <c:pt idx="224">
                  <c:v>40768</c:v>
                </c:pt>
                <c:pt idx="225">
                  <c:v>40769</c:v>
                </c:pt>
                <c:pt idx="226">
                  <c:v>40770</c:v>
                </c:pt>
                <c:pt idx="227">
                  <c:v>40771</c:v>
                </c:pt>
                <c:pt idx="228">
                  <c:v>40772</c:v>
                </c:pt>
                <c:pt idx="229">
                  <c:v>40773</c:v>
                </c:pt>
                <c:pt idx="230">
                  <c:v>40774</c:v>
                </c:pt>
                <c:pt idx="231">
                  <c:v>40775</c:v>
                </c:pt>
                <c:pt idx="232">
                  <c:v>40776</c:v>
                </c:pt>
                <c:pt idx="233">
                  <c:v>40777</c:v>
                </c:pt>
                <c:pt idx="234">
                  <c:v>40778</c:v>
                </c:pt>
                <c:pt idx="235">
                  <c:v>40779</c:v>
                </c:pt>
                <c:pt idx="236">
                  <c:v>40780</c:v>
                </c:pt>
                <c:pt idx="237">
                  <c:v>40781</c:v>
                </c:pt>
                <c:pt idx="238">
                  <c:v>40782</c:v>
                </c:pt>
                <c:pt idx="239">
                  <c:v>40783</c:v>
                </c:pt>
                <c:pt idx="240">
                  <c:v>40784</c:v>
                </c:pt>
                <c:pt idx="241">
                  <c:v>40785</c:v>
                </c:pt>
                <c:pt idx="242">
                  <c:v>40786</c:v>
                </c:pt>
                <c:pt idx="243">
                  <c:v>40787</c:v>
                </c:pt>
                <c:pt idx="244">
                  <c:v>40788</c:v>
                </c:pt>
                <c:pt idx="245">
                  <c:v>40789</c:v>
                </c:pt>
                <c:pt idx="246">
                  <c:v>40790</c:v>
                </c:pt>
                <c:pt idx="247">
                  <c:v>40791</c:v>
                </c:pt>
                <c:pt idx="248">
                  <c:v>40792</c:v>
                </c:pt>
                <c:pt idx="249">
                  <c:v>40793</c:v>
                </c:pt>
                <c:pt idx="250">
                  <c:v>40794</c:v>
                </c:pt>
                <c:pt idx="251">
                  <c:v>40795</c:v>
                </c:pt>
                <c:pt idx="252">
                  <c:v>40796</c:v>
                </c:pt>
                <c:pt idx="253">
                  <c:v>40797</c:v>
                </c:pt>
                <c:pt idx="254">
                  <c:v>40798</c:v>
                </c:pt>
                <c:pt idx="255">
                  <c:v>40799</c:v>
                </c:pt>
                <c:pt idx="256">
                  <c:v>40800</c:v>
                </c:pt>
                <c:pt idx="257">
                  <c:v>40801</c:v>
                </c:pt>
                <c:pt idx="258">
                  <c:v>40802</c:v>
                </c:pt>
                <c:pt idx="259">
                  <c:v>40803</c:v>
                </c:pt>
                <c:pt idx="260">
                  <c:v>40804</c:v>
                </c:pt>
                <c:pt idx="261">
                  <c:v>40805</c:v>
                </c:pt>
                <c:pt idx="262">
                  <c:v>40806</c:v>
                </c:pt>
                <c:pt idx="263">
                  <c:v>40807</c:v>
                </c:pt>
                <c:pt idx="264">
                  <c:v>40808</c:v>
                </c:pt>
                <c:pt idx="265">
                  <c:v>40809</c:v>
                </c:pt>
                <c:pt idx="266">
                  <c:v>40810</c:v>
                </c:pt>
                <c:pt idx="267">
                  <c:v>40811</c:v>
                </c:pt>
                <c:pt idx="268">
                  <c:v>40812</c:v>
                </c:pt>
                <c:pt idx="269">
                  <c:v>40813</c:v>
                </c:pt>
                <c:pt idx="270">
                  <c:v>40814</c:v>
                </c:pt>
                <c:pt idx="271">
                  <c:v>40815</c:v>
                </c:pt>
                <c:pt idx="272">
                  <c:v>40816</c:v>
                </c:pt>
                <c:pt idx="273">
                  <c:v>40817</c:v>
                </c:pt>
                <c:pt idx="274">
                  <c:v>40818</c:v>
                </c:pt>
                <c:pt idx="275">
                  <c:v>40819</c:v>
                </c:pt>
                <c:pt idx="276">
                  <c:v>40820</c:v>
                </c:pt>
                <c:pt idx="277">
                  <c:v>40821</c:v>
                </c:pt>
                <c:pt idx="278">
                  <c:v>40822</c:v>
                </c:pt>
                <c:pt idx="279">
                  <c:v>40823</c:v>
                </c:pt>
                <c:pt idx="280">
                  <c:v>40824</c:v>
                </c:pt>
                <c:pt idx="281">
                  <c:v>40825</c:v>
                </c:pt>
                <c:pt idx="282">
                  <c:v>40826</c:v>
                </c:pt>
                <c:pt idx="283">
                  <c:v>40827</c:v>
                </c:pt>
                <c:pt idx="284">
                  <c:v>40828</c:v>
                </c:pt>
                <c:pt idx="285">
                  <c:v>40829</c:v>
                </c:pt>
                <c:pt idx="286">
                  <c:v>40830</c:v>
                </c:pt>
                <c:pt idx="287">
                  <c:v>40831</c:v>
                </c:pt>
                <c:pt idx="288">
                  <c:v>40832</c:v>
                </c:pt>
                <c:pt idx="289">
                  <c:v>40833</c:v>
                </c:pt>
                <c:pt idx="290">
                  <c:v>40834</c:v>
                </c:pt>
                <c:pt idx="291">
                  <c:v>40835</c:v>
                </c:pt>
                <c:pt idx="292">
                  <c:v>40836</c:v>
                </c:pt>
                <c:pt idx="293">
                  <c:v>40837</c:v>
                </c:pt>
                <c:pt idx="294">
                  <c:v>40838</c:v>
                </c:pt>
                <c:pt idx="295">
                  <c:v>40839</c:v>
                </c:pt>
                <c:pt idx="296">
                  <c:v>40840</c:v>
                </c:pt>
                <c:pt idx="297">
                  <c:v>40841</c:v>
                </c:pt>
                <c:pt idx="298">
                  <c:v>40842</c:v>
                </c:pt>
                <c:pt idx="299">
                  <c:v>40843</c:v>
                </c:pt>
                <c:pt idx="300">
                  <c:v>40844</c:v>
                </c:pt>
                <c:pt idx="301">
                  <c:v>40845</c:v>
                </c:pt>
                <c:pt idx="302">
                  <c:v>40846</c:v>
                </c:pt>
                <c:pt idx="303">
                  <c:v>40847</c:v>
                </c:pt>
                <c:pt idx="304">
                  <c:v>40848</c:v>
                </c:pt>
                <c:pt idx="305">
                  <c:v>40849</c:v>
                </c:pt>
                <c:pt idx="306">
                  <c:v>40850</c:v>
                </c:pt>
                <c:pt idx="307">
                  <c:v>40851</c:v>
                </c:pt>
                <c:pt idx="308">
                  <c:v>40852</c:v>
                </c:pt>
                <c:pt idx="309">
                  <c:v>40853</c:v>
                </c:pt>
                <c:pt idx="310">
                  <c:v>40854</c:v>
                </c:pt>
                <c:pt idx="311">
                  <c:v>40855</c:v>
                </c:pt>
                <c:pt idx="312">
                  <c:v>40856</c:v>
                </c:pt>
                <c:pt idx="313">
                  <c:v>40857</c:v>
                </c:pt>
                <c:pt idx="314">
                  <c:v>40858</c:v>
                </c:pt>
                <c:pt idx="315">
                  <c:v>40859</c:v>
                </c:pt>
                <c:pt idx="316">
                  <c:v>40860</c:v>
                </c:pt>
                <c:pt idx="317">
                  <c:v>40861</c:v>
                </c:pt>
                <c:pt idx="318">
                  <c:v>40862</c:v>
                </c:pt>
                <c:pt idx="319">
                  <c:v>40863</c:v>
                </c:pt>
                <c:pt idx="320">
                  <c:v>40864</c:v>
                </c:pt>
                <c:pt idx="321">
                  <c:v>40865</c:v>
                </c:pt>
                <c:pt idx="322">
                  <c:v>40866</c:v>
                </c:pt>
                <c:pt idx="323">
                  <c:v>40867</c:v>
                </c:pt>
                <c:pt idx="324">
                  <c:v>40868</c:v>
                </c:pt>
                <c:pt idx="325">
                  <c:v>40869</c:v>
                </c:pt>
                <c:pt idx="326">
                  <c:v>40870</c:v>
                </c:pt>
                <c:pt idx="327">
                  <c:v>40871</c:v>
                </c:pt>
                <c:pt idx="328">
                  <c:v>40872</c:v>
                </c:pt>
                <c:pt idx="329">
                  <c:v>40873</c:v>
                </c:pt>
                <c:pt idx="330">
                  <c:v>40874</c:v>
                </c:pt>
                <c:pt idx="331">
                  <c:v>40875</c:v>
                </c:pt>
                <c:pt idx="332">
                  <c:v>40876</c:v>
                </c:pt>
                <c:pt idx="333">
                  <c:v>40877</c:v>
                </c:pt>
                <c:pt idx="334">
                  <c:v>40878</c:v>
                </c:pt>
                <c:pt idx="335">
                  <c:v>40879</c:v>
                </c:pt>
                <c:pt idx="336">
                  <c:v>40880</c:v>
                </c:pt>
                <c:pt idx="337">
                  <c:v>40881</c:v>
                </c:pt>
                <c:pt idx="338">
                  <c:v>40882</c:v>
                </c:pt>
                <c:pt idx="339">
                  <c:v>40883</c:v>
                </c:pt>
                <c:pt idx="340">
                  <c:v>40884</c:v>
                </c:pt>
                <c:pt idx="341">
                  <c:v>40885</c:v>
                </c:pt>
                <c:pt idx="342">
                  <c:v>40886</c:v>
                </c:pt>
                <c:pt idx="343">
                  <c:v>40887</c:v>
                </c:pt>
                <c:pt idx="344">
                  <c:v>40888</c:v>
                </c:pt>
                <c:pt idx="345">
                  <c:v>40889</c:v>
                </c:pt>
                <c:pt idx="346">
                  <c:v>40890</c:v>
                </c:pt>
                <c:pt idx="347">
                  <c:v>40891</c:v>
                </c:pt>
                <c:pt idx="348">
                  <c:v>40892</c:v>
                </c:pt>
                <c:pt idx="349">
                  <c:v>40893</c:v>
                </c:pt>
                <c:pt idx="350">
                  <c:v>40894</c:v>
                </c:pt>
                <c:pt idx="351">
                  <c:v>40895</c:v>
                </c:pt>
                <c:pt idx="352">
                  <c:v>40896</c:v>
                </c:pt>
                <c:pt idx="353">
                  <c:v>40897</c:v>
                </c:pt>
                <c:pt idx="354">
                  <c:v>40898</c:v>
                </c:pt>
                <c:pt idx="355">
                  <c:v>40899</c:v>
                </c:pt>
                <c:pt idx="356">
                  <c:v>40900</c:v>
                </c:pt>
                <c:pt idx="357">
                  <c:v>40901</c:v>
                </c:pt>
                <c:pt idx="358">
                  <c:v>40902</c:v>
                </c:pt>
                <c:pt idx="359">
                  <c:v>40903</c:v>
                </c:pt>
                <c:pt idx="360">
                  <c:v>40904</c:v>
                </c:pt>
                <c:pt idx="361">
                  <c:v>40905</c:v>
                </c:pt>
                <c:pt idx="362">
                  <c:v>40906</c:v>
                </c:pt>
                <c:pt idx="363">
                  <c:v>40907</c:v>
                </c:pt>
                <c:pt idx="364">
                  <c:v>40908</c:v>
                </c:pt>
                <c:pt idx="365">
                  <c:v>40909</c:v>
                </c:pt>
              </c:numCache>
            </c:numRef>
          </c:xVal>
          <c:yVal>
            <c:numRef>
              <c:f>daylength!$N$2:$N$367</c:f>
              <c:numCache>
                <c:formatCode>0.00</c:formatCode>
                <c:ptCount val="366"/>
                <c:pt idx="0">
                  <c:v>8.9833333333333343</c:v>
                </c:pt>
                <c:pt idx="1">
                  <c:v>9</c:v>
                </c:pt>
                <c:pt idx="2">
                  <c:v>9.0166666666666657</c:v>
                </c:pt>
                <c:pt idx="3">
                  <c:v>9.0333333333333332</c:v>
                </c:pt>
                <c:pt idx="4">
                  <c:v>9.0500000000000007</c:v>
                </c:pt>
                <c:pt idx="5">
                  <c:v>9.0666666666666664</c:v>
                </c:pt>
                <c:pt idx="6">
                  <c:v>9.1</c:v>
                </c:pt>
                <c:pt idx="7">
                  <c:v>9.1166666666666671</c:v>
                </c:pt>
                <c:pt idx="8">
                  <c:v>9.1333333333333329</c:v>
                </c:pt>
                <c:pt idx="9">
                  <c:v>9.1499999999999986</c:v>
                </c:pt>
                <c:pt idx="10">
                  <c:v>9.1833333333333336</c:v>
                </c:pt>
                <c:pt idx="11">
                  <c:v>9.1999999999999993</c:v>
                </c:pt>
                <c:pt idx="12">
                  <c:v>9.216666666666665</c:v>
                </c:pt>
                <c:pt idx="13">
                  <c:v>9.25</c:v>
                </c:pt>
                <c:pt idx="14">
                  <c:v>9.2833333333333332</c:v>
                </c:pt>
                <c:pt idx="15">
                  <c:v>9.3166666666666664</c:v>
                </c:pt>
                <c:pt idx="16">
                  <c:v>9.3333333333333339</c:v>
                </c:pt>
                <c:pt idx="17">
                  <c:v>9.3666666666666671</c:v>
                </c:pt>
                <c:pt idx="18">
                  <c:v>9.4166666666666661</c:v>
                </c:pt>
                <c:pt idx="19">
                  <c:v>9.4333333333333336</c:v>
                </c:pt>
                <c:pt idx="20">
                  <c:v>9.4666666666666668</c:v>
                </c:pt>
                <c:pt idx="21">
                  <c:v>9.5166666666666657</c:v>
                </c:pt>
                <c:pt idx="22">
                  <c:v>9.5333333333333332</c:v>
                </c:pt>
                <c:pt idx="23">
                  <c:v>9.5666666666666664</c:v>
                </c:pt>
                <c:pt idx="24">
                  <c:v>9.6166666666666654</c:v>
                </c:pt>
                <c:pt idx="25">
                  <c:v>9.6499999999999986</c:v>
                </c:pt>
                <c:pt idx="26">
                  <c:v>9.6833333333333318</c:v>
                </c:pt>
                <c:pt idx="27">
                  <c:v>9.7333333333333325</c:v>
                </c:pt>
                <c:pt idx="28">
                  <c:v>9.7666666666666675</c:v>
                </c:pt>
                <c:pt idx="29">
                  <c:v>9.8000000000000007</c:v>
                </c:pt>
                <c:pt idx="30">
                  <c:v>9.8500000000000014</c:v>
                </c:pt>
                <c:pt idx="31">
                  <c:v>9.8833333333333346</c:v>
                </c:pt>
                <c:pt idx="32">
                  <c:v>9.9166666666666679</c:v>
                </c:pt>
                <c:pt idx="33">
                  <c:v>9.9666666666666668</c:v>
                </c:pt>
                <c:pt idx="34">
                  <c:v>10</c:v>
                </c:pt>
                <c:pt idx="35">
                  <c:v>10.033333333333333</c:v>
                </c:pt>
                <c:pt idx="36">
                  <c:v>10.1</c:v>
                </c:pt>
                <c:pt idx="37">
                  <c:v>10.133333333333333</c:v>
                </c:pt>
                <c:pt idx="38">
                  <c:v>10.183333333333334</c:v>
                </c:pt>
                <c:pt idx="39">
                  <c:v>10.216666666666669</c:v>
                </c:pt>
                <c:pt idx="40">
                  <c:v>10.266666666666667</c:v>
                </c:pt>
                <c:pt idx="41">
                  <c:v>10.316666666666666</c:v>
                </c:pt>
                <c:pt idx="42">
                  <c:v>10.350000000000001</c:v>
                </c:pt>
                <c:pt idx="43">
                  <c:v>10.4</c:v>
                </c:pt>
                <c:pt idx="44">
                  <c:v>10.45</c:v>
                </c:pt>
                <c:pt idx="45">
                  <c:v>10.5</c:v>
                </c:pt>
                <c:pt idx="46">
                  <c:v>10.533333333333333</c:v>
                </c:pt>
                <c:pt idx="47">
                  <c:v>10.6</c:v>
                </c:pt>
                <c:pt idx="48">
                  <c:v>10.633333333333333</c:v>
                </c:pt>
                <c:pt idx="49">
                  <c:v>10.7</c:v>
                </c:pt>
                <c:pt idx="50">
                  <c:v>10.733333333333333</c:v>
                </c:pt>
                <c:pt idx="51">
                  <c:v>10.783333333333331</c:v>
                </c:pt>
                <c:pt idx="52">
                  <c:v>10.833333333333332</c:v>
                </c:pt>
                <c:pt idx="53">
                  <c:v>10.883333333333333</c:v>
                </c:pt>
                <c:pt idx="54">
                  <c:v>10.916666666666666</c:v>
                </c:pt>
                <c:pt idx="55">
                  <c:v>10.966666666666667</c:v>
                </c:pt>
                <c:pt idx="56">
                  <c:v>11.033333333333333</c:v>
                </c:pt>
                <c:pt idx="57">
                  <c:v>11.066666666666666</c:v>
                </c:pt>
                <c:pt idx="58">
                  <c:v>11.116666666666665</c:v>
                </c:pt>
                <c:pt idx="59">
                  <c:v>11.183333333333332</c:v>
                </c:pt>
                <c:pt idx="60">
                  <c:v>11.216666666666665</c:v>
                </c:pt>
                <c:pt idx="61">
                  <c:v>11.266666666666666</c:v>
                </c:pt>
                <c:pt idx="62">
                  <c:v>11.333333333333334</c:v>
                </c:pt>
                <c:pt idx="63">
                  <c:v>11.366666666666667</c:v>
                </c:pt>
                <c:pt idx="64">
                  <c:v>11.416666666666668</c:v>
                </c:pt>
                <c:pt idx="65">
                  <c:v>11.466666666666667</c:v>
                </c:pt>
                <c:pt idx="66">
                  <c:v>11.533333333333333</c:v>
                </c:pt>
                <c:pt idx="67">
                  <c:v>11.566666666666668</c:v>
                </c:pt>
                <c:pt idx="68">
                  <c:v>11.616666666666667</c:v>
                </c:pt>
                <c:pt idx="69">
                  <c:v>11.666666666666668</c:v>
                </c:pt>
                <c:pt idx="70">
                  <c:v>11.733333333333334</c:v>
                </c:pt>
                <c:pt idx="71">
                  <c:v>11.766666666666667</c:v>
                </c:pt>
                <c:pt idx="72">
                  <c:v>11.816666666666666</c:v>
                </c:pt>
                <c:pt idx="73">
                  <c:v>11.866666666666667</c:v>
                </c:pt>
                <c:pt idx="74">
                  <c:v>11.933333333333334</c:v>
                </c:pt>
                <c:pt idx="75">
                  <c:v>11.983333333333334</c:v>
                </c:pt>
                <c:pt idx="76">
                  <c:v>12.016666666666666</c:v>
                </c:pt>
                <c:pt idx="77">
                  <c:v>12.066666666666666</c:v>
                </c:pt>
                <c:pt idx="78">
                  <c:v>12.116666666666667</c:v>
                </c:pt>
                <c:pt idx="79">
                  <c:v>12.183333333333334</c:v>
                </c:pt>
                <c:pt idx="80">
                  <c:v>12.233333333333333</c:v>
                </c:pt>
                <c:pt idx="81">
                  <c:v>12.266666666666666</c:v>
                </c:pt>
                <c:pt idx="82">
                  <c:v>12.316666666666666</c:v>
                </c:pt>
                <c:pt idx="83">
                  <c:v>12.383333333333335</c:v>
                </c:pt>
                <c:pt idx="84">
                  <c:v>12.433333333333332</c:v>
                </c:pt>
                <c:pt idx="85">
                  <c:v>12.483333333333334</c:v>
                </c:pt>
                <c:pt idx="86">
                  <c:v>12.516666666666667</c:v>
                </c:pt>
                <c:pt idx="87">
                  <c:v>12.566666666666665</c:v>
                </c:pt>
                <c:pt idx="88">
                  <c:v>12.633333333333331</c:v>
                </c:pt>
                <c:pt idx="89">
                  <c:v>12.683333333333334</c:v>
                </c:pt>
                <c:pt idx="90">
                  <c:v>12.733333333333334</c:v>
                </c:pt>
                <c:pt idx="91">
                  <c:v>12.766666666666666</c:v>
                </c:pt>
                <c:pt idx="92">
                  <c:v>12.816666666666666</c:v>
                </c:pt>
                <c:pt idx="93">
                  <c:v>12.883333333333333</c:v>
                </c:pt>
                <c:pt idx="94">
                  <c:v>12.933333333333334</c:v>
                </c:pt>
                <c:pt idx="95">
                  <c:v>12.983333333333333</c:v>
                </c:pt>
                <c:pt idx="96">
                  <c:v>13.016666666666666</c:v>
                </c:pt>
                <c:pt idx="97">
                  <c:v>13.066666666666666</c:v>
                </c:pt>
                <c:pt idx="98">
                  <c:v>13.133333333333335</c:v>
                </c:pt>
                <c:pt idx="99">
                  <c:v>13.183333333333334</c:v>
                </c:pt>
                <c:pt idx="100">
                  <c:v>13.216666666666669</c:v>
                </c:pt>
                <c:pt idx="101">
                  <c:v>13.266666666666667</c:v>
                </c:pt>
                <c:pt idx="102">
                  <c:v>13.316666666666666</c:v>
                </c:pt>
                <c:pt idx="103">
                  <c:v>13.366666666666667</c:v>
                </c:pt>
                <c:pt idx="104">
                  <c:v>13.416666666666668</c:v>
                </c:pt>
                <c:pt idx="105">
                  <c:v>13.466666666666667</c:v>
                </c:pt>
                <c:pt idx="106">
                  <c:v>13.516666666666666</c:v>
                </c:pt>
                <c:pt idx="107">
                  <c:v>13.55</c:v>
                </c:pt>
                <c:pt idx="108">
                  <c:v>13.616666666666669</c:v>
                </c:pt>
                <c:pt idx="109">
                  <c:v>13.650000000000002</c:v>
                </c:pt>
                <c:pt idx="110">
                  <c:v>13.7</c:v>
                </c:pt>
                <c:pt idx="111">
                  <c:v>13.750000000000002</c:v>
                </c:pt>
                <c:pt idx="112">
                  <c:v>13.783333333333335</c:v>
                </c:pt>
                <c:pt idx="113">
                  <c:v>13.850000000000001</c:v>
                </c:pt>
                <c:pt idx="114">
                  <c:v>13.883333333333335</c:v>
                </c:pt>
                <c:pt idx="115">
                  <c:v>13.933333333333332</c:v>
                </c:pt>
                <c:pt idx="116">
                  <c:v>13.966666666666669</c:v>
                </c:pt>
                <c:pt idx="117">
                  <c:v>14.016666666666667</c:v>
                </c:pt>
                <c:pt idx="118">
                  <c:v>14.05</c:v>
                </c:pt>
                <c:pt idx="119">
                  <c:v>14.116666666666667</c:v>
                </c:pt>
                <c:pt idx="120">
                  <c:v>14.15</c:v>
                </c:pt>
                <c:pt idx="121">
                  <c:v>14.2</c:v>
                </c:pt>
                <c:pt idx="122">
                  <c:v>14.233333333333334</c:v>
                </c:pt>
                <c:pt idx="123">
                  <c:v>14.266666666666666</c:v>
                </c:pt>
                <c:pt idx="124">
                  <c:v>14.333333333333332</c:v>
                </c:pt>
                <c:pt idx="125">
                  <c:v>14.366666666666667</c:v>
                </c:pt>
                <c:pt idx="126">
                  <c:v>14.399999999999999</c:v>
                </c:pt>
                <c:pt idx="127">
                  <c:v>14.45</c:v>
                </c:pt>
                <c:pt idx="128">
                  <c:v>14.483333333333333</c:v>
                </c:pt>
                <c:pt idx="129">
                  <c:v>14.516666666666666</c:v>
                </c:pt>
                <c:pt idx="130">
                  <c:v>14.549999999999999</c:v>
                </c:pt>
                <c:pt idx="131">
                  <c:v>14.616666666666665</c:v>
                </c:pt>
                <c:pt idx="132">
                  <c:v>14.649999999999999</c:v>
                </c:pt>
                <c:pt idx="133">
                  <c:v>14.683333333333332</c:v>
                </c:pt>
                <c:pt idx="134">
                  <c:v>14.716666666666665</c:v>
                </c:pt>
                <c:pt idx="135">
                  <c:v>14.749999999999998</c:v>
                </c:pt>
                <c:pt idx="136">
                  <c:v>14.783333333333331</c:v>
                </c:pt>
                <c:pt idx="137">
                  <c:v>14.816666666666666</c:v>
                </c:pt>
                <c:pt idx="138">
                  <c:v>14.850000000000001</c:v>
                </c:pt>
                <c:pt idx="139">
                  <c:v>14.883333333333333</c:v>
                </c:pt>
                <c:pt idx="140">
                  <c:v>14.916666666666668</c:v>
                </c:pt>
                <c:pt idx="141">
                  <c:v>14.95</c:v>
                </c:pt>
                <c:pt idx="142">
                  <c:v>14.983333333333334</c:v>
                </c:pt>
                <c:pt idx="143">
                  <c:v>15.016666666666669</c:v>
                </c:pt>
                <c:pt idx="144">
                  <c:v>15.033333333333333</c:v>
                </c:pt>
                <c:pt idx="145">
                  <c:v>15.066666666666666</c:v>
                </c:pt>
                <c:pt idx="146">
                  <c:v>15.1</c:v>
                </c:pt>
                <c:pt idx="147">
                  <c:v>15.133333333333333</c:v>
                </c:pt>
                <c:pt idx="148">
                  <c:v>15.150000000000002</c:v>
                </c:pt>
                <c:pt idx="149">
                  <c:v>15.183333333333335</c:v>
                </c:pt>
                <c:pt idx="150">
                  <c:v>15.2</c:v>
                </c:pt>
                <c:pt idx="151">
                  <c:v>15.216666666666669</c:v>
                </c:pt>
                <c:pt idx="152">
                  <c:v>15.233333333333333</c:v>
                </c:pt>
                <c:pt idx="153">
                  <c:v>15.266666666666666</c:v>
                </c:pt>
                <c:pt idx="154">
                  <c:v>15.283333333333335</c:v>
                </c:pt>
                <c:pt idx="155">
                  <c:v>15.299999999999999</c:v>
                </c:pt>
                <c:pt idx="156">
                  <c:v>15.316666666666668</c:v>
                </c:pt>
                <c:pt idx="157">
                  <c:v>15.333333333333332</c:v>
                </c:pt>
                <c:pt idx="158">
                  <c:v>15.366666666666665</c:v>
                </c:pt>
                <c:pt idx="159">
                  <c:v>15.366666666666665</c:v>
                </c:pt>
                <c:pt idx="160">
                  <c:v>15.383333333333335</c:v>
                </c:pt>
                <c:pt idx="161">
                  <c:v>15.383333333333335</c:v>
                </c:pt>
                <c:pt idx="162">
                  <c:v>15.416666666666668</c:v>
                </c:pt>
                <c:pt idx="163">
                  <c:v>15.416666666666668</c:v>
                </c:pt>
                <c:pt idx="164">
                  <c:v>15.433333333333332</c:v>
                </c:pt>
                <c:pt idx="165">
                  <c:v>15.433333333333332</c:v>
                </c:pt>
                <c:pt idx="166">
                  <c:v>15.450000000000001</c:v>
                </c:pt>
                <c:pt idx="167">
                  <c:v>15.450000000000001</c:v>
                </c:pt>
                <c:pt idx="168">
                  <c:v>15.450000000000001</c:v>
                </c:pt>
                <c:pt idx="169">
                  <c:v>15.466666666666665</c:v>
                </c:pt>
                <c:pt idx="170">
                  <c:v>15.450000000000001</c:v>
                </c:pt>
                <c:pt idx="171">
                  <c:v>15.450000000000001</c:v>
                </c:pt>
                <c:pt idx="172">
                  <c:v>15.450000000000001</c:v>
                </c:pt>
                <c:pt idx="173">
                  <c:v>15.466666666666665</c:v>
                </c:pt>
                <c:pt idx="174">
                  <c:v>15.450000000000001</c:v>
                </c:pt>
                <c:pt idx="175">
                  <c:v>15.450000000000001</c:v>
                </c:pt>
                <c:pt idx="176">
                  <c:v>15.450000000000001</c:v>
                </c:pt>
                <c:pt idx="177">
                  <c:v>15.433333333333332</c:v>
                </c:pt>
                <c:pt idx="178">
                  <c:v>15.433333333333332</c:v>
                </c:pt>
                <c:pt idx="179">
                  <c:v>15.433333333333332</c:v>
                </c:pt>
                <c:pt idx="180">
                  <c:v>15.416666666666668</c:v>
                </c:pt>
                <c:pt idx="181">
                  <c:v>15.399999999999999</c:v>
                </c:pt>
                <c:pt idx="182">
                  <c:v>15.383333333333335</c:v>
                </c:pt>
                <c:pt idx="183">
                  <c:v>15.366666666666665</c:v>
                </c:pt>
                <c:pt idx="184">
                  <c:v>15.366666666666665</c:v>
                </c:pt>
                <c:pt idx="185">
                  <c:v>15.350000000000001</c:v>
                </c:pt>
                <c:pt idx="186">
                  <c:v>15.333333333333332</c:v>
                </c:pt>
                <c:pt idx="187">
                  <c:v>15.316666666666668</c:v>
                </c:pt>
                <c:pt idx="188">
                  <c:v>15.283333333333335</c:v>
                </c:pt>
                <c:pt idx="189">
                  <c:v>15.283333333333335</c:v>
                </c:pt>
                <c:pt idx="190">
                  <c:v>15.266666666666666</c:v>
                </c:pt>
                <c:pt idx="191">
                  <c:v>15.233333333333333</c:v>
                </c:pt>
                <c:pt idx="192">
                  <c:v>15.216666666666665</c:v>
                </c:pt>
                <c:pt idx="193">
                  <c:v>15.183333333333334</c:v>
                </c:pt>
                <c:pt idx="194">
                  <c:v>15.166666666666666</c:v>
                </c:pt>
                <c:pt idx="195">
                  <c:v>15.149999999999999</c:v>
                </c:pt>
                <c:pt idx="196">
                  <c:v>15.116666666666667</c:v>
                </c:pt>
                <c:pt idx="197">
                  <c:v>15.083333333333332</c:v>
                </c:pt>
                <c:pt idx="198">
                  <c:v>15.05</c:v>
                </c:pt>
                <c:pt idx="199">
                  <c:v>15.033333333333333</c:v>
                </c:pt>
                <c:pt idx="200">
                  <c:v>15</c:v>
                </c:pt>
                <c:pt idx="201">
                  <c:v>14.966666666666667</c:v>
                </c:pt>
                <c:pt idx="202">
                  <c:v>14.933333333333334</c:v>
                </c:pt>
                <c:pt idx="203">
                  <c:v>14.9</c:v>
                </c:pt>
                <c:pt idx="204">
                  <c:v>14.866666666666667</c:v>
                </c:pt>
                <c:pt idx="205">
                  <c:v>14.833333333333334</c:v>
                </c:pt>
                <c:pt idx="206">
                  <c:v>14.8</c:v>
                </c:pt>
                <c:pt idx="207">
                  <c:v>14.766666666666667</c:v>
                </c:pt>
                <c:pt idx="208">
                  <c:v>14.733333333333334</c:v>
                </c:pt>
                <c:pt idx="209">
                  <c:v>14.700000000000001</c:v>
                </c:pt>
                <c:pt idx="210">
                  <c:v>14.666666666666668</c:v>
                </c:pt>
                <c:pt idx="211">
                  <c:v>14.633333333333335</c:v>
                </c:pt>
                <c:pt idx="212">
                  <c:v>14.600000000000001</c:v>
                </c:pt>
                <c:pt idx="213">
                  <c:v>14.55</c:v>
                </c:pt>
                <c:pt idx="214">
                  <c:v>14.516666666666669</c:v>
                </c:pt>
                <c:pt idx="215">
                  <c:v>14.483333333333333</c:v>
                </c:pt>
                <c:pt idx="216">
                  <c:v>14.433333333333334</c:v>
                </c:pt>
                <c:pt idx="217">
                  <c:v>14.399999999999999</c:v>
                </c:pt>
                <c:pt idx="218">
                  <c:v>14.35</c:v>
                </c:pt>
                <c:pt idx="219">
                  <c:v>14.3</c:v>
                </c:pt>
                <c:pt idx="220">
                  <c:v>14.266666666666666</c:v>
                </c:pt>
                <c:pt idx="221">
                  <c:v>14.233333333333334</c:v>
                </c:pt>
                <c:pt idx="222">
                  <c:v>14.183333333333334</c:v>
                </c:pt>
                <c:pt idx="223">
                  <c:v>14.15</c:v>
                </c:pt>
                <c:pt idx="224">
                  <c:v>14.099999999999998</c:v>
                </c:pt>
                <c:pt idx="225">
                  <c:v>14.066666666666665</c:v>
                </c:pt>
                <c:pt idx="226">
                  <c:v>13.999999999999998</c:v>
                </c:pt>
                <c:pt idx="227">
                  <c:v>13.966666666666665</c:v>
                </c:pt>
                <c:pt idx="228">
                  <c:v>13.916666666666668</c:v>
                </c:pt>
                <c:pt idx="229">
                  <c:v>13.883333333333335</c:v>
                </c:pt>
                <c:pt idx="230">
                  <c:v>13.833333333333332</c:v>
                </c:pt>
                <c:pt idx="231">
                  <c:v>13.799999999999999</c:v>
                </c:pt>
                <c:pt idx="232">
                  <c:v>13.750000000000002</c:v>
                </c:pt>
                <c:pt idx="233">
                  <c:v>13.7</c:v>
                </c:pt>
                <c:pt idx="234">
                  <c:v>13.649999999999999</c:v>
                </c:pt>
                <c:pt idx="235">
                  <c:v>13.6</c:v>
                </c:pt>
                <c:pt idx="236">
                  <c:v>13.55</c:v>
                </c:pt>
                <c:pt idx="237">
                  <c:v>13.516666666666666</c:v>
                </c:pt>
                <c:pt idx="238">
                  <c:v>13.466666666666667</c:v>
                </c:pt>
                <c:pt idx="239">
                  <c:v>13.416666666666668</c:v>
                </c:pt>
                <c:pt idx="240">
                  <c:v>13.366666666666667</c:v>
                </c:pt>
                <c:pt idx="241">
                  <c:v>13.333333333333334</c:v>
                </c:pt>
                <c:pt idx="242">
                  <c:v>13.266666666666667</c:v>
                </c:pt>
                <c:pt idx="243">
                  <c:v>13.216666666666669</c:v>
                </c:pt>
                <c:pt idx="244">
                  <c:v>13.166666666666664</c:v>
                </c:pt>
                <c:pt idx="245">
                  <c:v>13.133333333333333</c:v>
                </c:pt>
                <c:pt idx="246">
                  <c:v>13.083333333333332</c:v>
                </c:pt>
                <c:pt idx="247">
                  <c:v>13.033333333333331</c:v>
                </c:pt>
                <c:pt idx="248">
                  <c:v>12.983333333333333</c:v>
                </c:pt>
                <c:pt idx="249">
                  <c:v>12.95</c:v>
                </c:pt>
                <c:pt idx="250">
                  <c:v>12.883333333333333</c:v>
                </c:pt>
                <c:pt idx="251">
                  <c:v>12.833333333333332</c:v>
                </c:pt>
                <c:pt idx="252">
                  <c:v>12.783333333333333</c:v>
                </c:pt>
                <c:pt idx="253">
                  <c:v>12.733333333333334</c:v>
                </c:pt>
                <c:pt idx="254">
                  <c:v>12.683333333333334</c:v>
                </c:pt>
                <c:pt idx="255">
                  <c:v>12.65</c:v>
                </c:pt>
                <c:pt idx="256">
                  <c:v>12.600000000000001</c:v>
                </c:pt>
                <c:pt idx="257">
                  <c:v>12.55</c:v>
                </c:pt>
                <c:pt idx="258">
                  <c:v>12.483333333333334</c:v>
                </c:pt>
                <c:pt idx="259">
                  <c:v>12.433333333333334</c:v>
                </c:pt>
                <c:pt idx="260">
                  <c:v>12.383333333333335</c:v>
                </c:pt>
                <c:pt idx="261">
                  <c:v>12.350000000000001</c:v>
                </c:pt>
                <c:pt idx="262">
                  <c:v>12.3</c:v>
                </c:pt>
                <c:pt idx="263">
                  <c:v>12.250000000000002</c:v>
                </c:pt>
                <c:pt idx="264">
                  <c:v>12.2</c:v>
                </c:pt>
                <c:pt idx="265">
                  <c:v>12.133333333333333</c:v>
                </c:pt>
                <c:pt idx="266">
                  <c:v>12.083333333333336</c:v>
                </c:pt>
                <c:pt idx="267">
                  <c:v>12.050000000000002</c:v>
                </c:pt>
                <c:pt idx="268">
                  <c:v>12</c:v>
                </c:pt>
                <c:pt idx="269">
                  <c:v>11.95</c:v>
                </c:pt>
                <c:pt idx="270">
                  <c:v>11.899999999999999</c:v>
                </c:pt>
                <c:pt idx="271">
                  <c:v>11.85</c:v>
                </c:pt>
                <c:pt idx="272">
                  <c:v>11.783333333333333</c:v>
                </c:pt>
                <c:pt idx="273">
                  <c:v>11.749999999999998</c:v>
                </c:pt>
                <c:pt idx="274">
                  <c:v>11.7</c:v>
                </c:pt>
                <c:pt idx="275">
                  <c:v>11.649999999999999</c:v>
                </c:pt>
                <c:pt idx="276">
                  <c:v>11.599999999999998</c:v>
                </c:pt>
                <c:pt idx="277">
                  <c:v>11.549999999999999</c:v>
                </c:pt>
                <c:pt idx="278">
                  <c:v>11.5</c:v>
                </c:pt>
                <c:pt idx="279">
                  <c:v>11.45</c:v>
                </c:pt>
                <c:pt idx="280">
                  <c:v>11.399999999999999</c:v>
                </c:pt>
                <c:pt idx="281">
                  <c:v>11.35</c:v>
                </c:pt>
                <c:pt idx="282">
                  <c:v>11.316666666666666</c:v>
                </c:pt>
                <c:pt idx="283">
                  <c:v>11.25</c:v>
                </c:pt>
                <c:pt idx="284">
                  <c:v>11.2</c:v>
                </c:pt>
                <c:pt idx="285">
                  <c:v>11.166666666666668</c:v>
                </c:pt>
                <c:pt idx="286">
                  <c:v>11.116666666666667</c:v>
                </c:pt>
                <c:pt idx="287">
                  <c:v>11.066666666666666</c:v>
                </c:pt>
                <c:pt idx="288">
                  <c:v>11</c:v>
                </c:pt>
                <c:pt idx="289">
                  <c:v>10.966666666666669</c:v>
                </c:pt>
                <c:pt idx="290">
                  <c:v>10.916666666666668</c:v>
                </c:pt>
                <c:pt idx="291">
                  <c:v>10.883333333333335</c:v>
                </c:pt>
                <c:pt idx="292">
                  <c:v>10.816666666666668</c:v>
                </c:pt>
                <c:pt idx="293">
                  <c:v>10.766666666666669</c:v>
                </c:pt>
                <c:pt idx="294">
                  <c:v>10.733333333333334</c:v>
                </c:pt>
                <c:pt idx="295">
                  <c:v>10.683333333333334</c:v>
                </c:pt>
                <c:pt idx="296">
                  <c:v>10.633333333333331</c:v>
                </c:pt>
                <c:pt idx="297">
                  <c:v>10.583333333333332</c:v>
                </c:pt>
                <c:pt idx="298">
                  <c:v>10.549999999999999</c:v>
                </c:pt>
                <c:pt idx="299">
                  <c:v>10.483333333333333</c:v>
                </c:pt>
                <c:pt idx="300">
                  <c:v>10.45</c:v>
                </c:pt>
                <c:pt idx="301">
                  <c:v>10.399999999999999</c:v>
                </c:pt>
                <c:pt idx="302">
                  <c:v>10.366666666666665</c:v>
                </c:pt>
                <c:pt idx="303">
                  <c:v>10.299999999999999</c:v>
                </c:pt>
                <c:pt idx="304">
                  <c:v>10.266666666666666</c:v>
                </c:pt>
                <c:pt idx="305">
                  <c:v>10.233333333333333</c:v>
                </c:pt>
                <c:pt idx="306">
                  <c:v>10.166666666666666</c:v>
                </c:pt>
                <c:pt idx="307">
                  <c:v>10.133333333333333</c:v>
                </c:pt>
                <c:pt idx="308">
                  <c:v>10.1</c:v>
                </c:pt>
                <c:pt idx="309">
                  <c:v>10.050000000000001</c:v>
                </c:pt>
                <c:pt idx="310">
                  <c:v>10</c:v>
                </c:pt>
                <c:pt idx="311">
                  <c:v>9.9666666666666668</c:v>
                </c:pt>
                <c:pt idx="312">
                  <c:v>9.9166666666666679</c:v>
                </c:pt>
                <c:pt idx="313">
                  <c:v>9.8833333333333329</c:v>
                </c:pt>
                <c:pt idx="314">
                  <c:v>9.85</c:v>
                </c:pt>
                <c:pt idx="315">
                  <c:v>9.8000000000000007</c:v>
                </c:pt>
                <c:pt idx="316">
                  <c:v>9.7666666666666657</c:v>
                </c:pt>
                <c:pt idx="317">
                  <c:v>9.7333333333333343</c:v>
                </c:pt>
                <c:pt idx="318">
                  <c:v>9.6999999999999993</c:v>
                </c:pt>
                <c:pt idx="319">
                  <c:v>9.65</c:v>
                </c:pt>
                <c:pt idx="320">
                  <c:v>9.6166666666666671</c:v>
                </c:pt>
                <c:pt idx="321">
                  <c:v>9.5833333333333339</c:v>
                </c:pt>
                <c:pt idx="322">
                  <c:v>9.533333333333335</c:v>
                </c:pt>
                <c:pt idx="323">
                  <c:v>9.5</c:v>
                </c:pt>
                <c:pt idx="324">
                  <c:v>9.4833333333333343</c:v>
                </c:pt>
                <c:pt idx="325">
                  <c:v>9.4500000000000011</c:v>
                </c:pt>
                <c:pt idx="326">
                  <c:v>9.4000000000000021</c:v>
                </c:pt>
                <c:pt idx="327">
                  <c:v>9.3666666666666671</c:v>
                </c:pt>
                <c:pt idx="328">
                  <c:v>9.3500000000000014</c:v>
                </c:pt>
                <c:pt idx="329">
                  <c:v>9.3166666666666682</c:v>
                </c:pt>
                <c:pt idx="330">
                  <c:v>9.3000000000000007</c:v>
                </c:pt>
                <c:pt idx="331">
                  <c:v>9.25</c:v>
                </c:pt>
                <c:pt idx="332">
                  <c:v>9.2333333333333343</c:v>
                </c:pt>
                <c:pt idx="333">
                  <c:v>9.2000000000000011</c:v>
                </c:pt>
                <c:pt idx="334">
                  <c:v>9.1833333333333336</c:v>
                </c:pt>
                <c:pt idx="335">
                  <c:v>9.1666666666666679</c:v>
                </c:pt>
                <c:pt idx="336">
                  <c:v>9.1333333333333346</c:v>
                </c:pt>
                <c:pt idx="337">
                  <c:v>9.1166666666666671</c:v>
                </c:pt>
                <c:pt idx="338">
                  <c:v>9.1000000000000014</c:v>
                </c:pt>
                <c:pt idx="339">
                  <c:v>9.0833333333333339</c:v>
                </c:pt>
                <c:pt idx="340">
                  <c:v>9.0666666666666682</c:v>
                </c:pt>
                <c:pt idx="341">
                  <c:v>9.033333333333335</c:v>
                </c:pt>
                <c:pt idx="342">
                  <c:v>9.0166666666666675</c:v>
                </c:pt>
                <c:pt idx="343">
                  <c:v>9.0000000000000018</c:v>
                </c:pt>
                <c:pt idx="344">
                  <c:v>8.9833333333333343</c:v>
                </c:pt>
                <c:pt idx="345">
                  <c:v>8.9833333333333343</c:v>
                </c:pt>
                <c:pt idx="346">
                  <c:v>8.9666666666666686</c:v>
                </c:pt>
                <c:pt idx="347">
                  <c:v>8.9500000000000011</c:v>
                </c:pt>
                <c:pt idx="348">
                  <c:v>8.9500000000000011</c:v>
                </c:pt>
                <c:pt idx="349">
                  <c:v>8.9333333333333353</c:v>
                </c:pt>
                <c:pt idx="350">
                  <c:v>8.9333333333333353</c:v>
                </c:pt>
                <c:pt idx="351">
                  <c:v>8.9333333333333353</c:v>
                </c:pt>
                <c:pt idx="352">
                  <c:v>8.9166666666666679</c:v>
                </c:pt>
                <c:pt idx="353">
                  <c:v>8.9166666666666679</c:v>
                </c:pt>
                <c:pt idx="354">
                  <c:v>8.9166666666666679</c:v>
                </c:pt>
                <c:pt idx="355">
                  <c:v>8.9166666666666679</c:v>
                </c:pt>
                <c:pt idx="356">
                  <c:v>8.9166666666666679</c:v>
                </c:pt>
                <c:pt idx="357">
                  <c:v>8.9166666666666679</c:v>
                </c:pt>
                <c:pt idx="358">
                  <c:v>8.9166666666666679</c:v>
                </c:pt>
                <c:pt idx="359">
                  <c:v>8.9333333333333336</c:v>
                </c:pt>
                <c:pt idx="360">
                  <c:v>8.9333333333333336</c:v>
                </c:pt>
                <c:pt idx="361">
                  <c:v>8.9333333333333336</c:v>
                </c:pt>
                <c:pt idx="362">
                  <c:v>8.9499999999999993</c:v>
                </c:pt>
                <c:pt idx="363">
                  <c:v>8.9666666666666668</c:v>
                </c:pt>
                <c:pt idx="364">
                  <c:v>8.9666666666666668</c:v>
                </c:pt>
                <c:pt idx="365">
                  <c:v>8.9833333333333343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FD-4A4A-93EA-18D1C9071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420736"/>
        <c:axId val="720896624"/>
      </c:scatterChart>
      <c:valAx>
        <c:axId val="750420736"/>
        <c:scaling>
          <c:orientation val="minMax"/>
          <c:max val="41299"/>
          <c:min val="409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896624"/>
        <c:crosses val="autoZero"/>
        <c:crossBetween val="midCat"/>
      </c:valAx>
      <c:valAx>
        <c:axId val="72089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Daylength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42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daylength!$N$1</c:f>
              <c:strCache>
                <c:ptCount val="1"/>
                <c:pt idx="0">
                  <c:v>daylength.h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daylength!$C$2:$C$367</c:f>
              <c:numCache>
                <c:formatCode>[$-409]d\-mmm;@</c:formatCode>
                <c:ptCount val="366"/>
                <c:pt idx="0">
                  <c:v>40544</c:v>
                </c:pt>
                <c:pt idx="1">
                  <c:v>40545</c:v>
                </c:pt>
                <c:pt idx="2">
                  <c:v>40546</c:v>
                </c:pt>
                <c:pt idx="3">
                  <c:v>40547</c:v>
                </c:pt>
                <c:pt idx="4">
                  <c:v>40548</c:v>
                </c:pt>
                <c:pt idx="5">
                  <c:v>40549</c:v>
                </c:pt>
                <c:pt idx="6">
                  <c:v>40550</c:v>
                </c:pt>
                <c:pt idx="7">
                  <c:v>40551</c:v>
                </c:pt>
                <c:pt idx="8">
                  <c:v>40552</c:v>
                </c:pt>
                <c:pt idx="9">
                  <c:v>40553</c:v>
                </c:pt>
                <c:pt idx="10">
                  <c:v>40554</c:v>
                </c:pt>
                <c:pt idx="11">
                  <c:v>40555</c:v>
                </c:pt>
                <c:pt idx="12">
                  <c:v>40556</c:v>
                </c:pt>
                <c:pt idx="13">
                  <c:v>40557</c:v>
                </c:pt>
                <c:pt idx="14">
                  <c:v>40558</c:v>
                </c:pt>
                <c:pt idx="15">
                  <c:v>40559</c:v>
                </c:pt>
                <c:pt idx="16">
                  <c:v>40560</c:v>
                </c:pt>
                <c:pt idx="17">
                  <c:v>40561</c:v>
                </c:pt>
                <c:pt idx="18">
                  <c:v>40562</c:v>
                </c:pt>
                <c:pt idx="19">
                  <c:v>40563</c:v>
                </c:pt>
                <c:pt idx="20">
                  <c:v>40564</c:v>
                </c:pt>
                <c:pt idx="21">
                  <c:v>40565</c:v>
                </c:pt>
                <c:pt idx="22">
                  <c:v>40566</c:v>
                </c:pt>
                <c:pt idx="23">
                  <c:v>40567</c:v>
                </c:pt>
                <c:pt idx="24">
                  <c:v>40568</c:v>
                </c:pt>
                <c:pt idx="25">
                  <c:v>40569</c:v>
                </c:pt>
                <c:pt idx="26">
                  <c:v>40570</c:v>
                </c:pt>
                <c:pt idx="27">
                  <c:v>40571</c:v>
                </c:pt>
                <c:pt idx="28">
                  <c:v>40572</c:v>
                </c:pt>
                <c:pt idx="29">
                  <c:v>40573</c:v>
                </c:pt>
                <c:pt idx="30">
                  <c:v>40574</c:v>
                </c:pt>
                <c:pt idx="31">
                  <c:v>40575</c:v>
                </c:pt>
                <c:pt idx="32">
                  <c:v>40576</c:v>
                </c:pt>
                <c:pt idx="33">
                  <c:v>40577</c:v>
                </c:pt>
                <c:pt idx="34">
                  <c:v>40578</c:v>
                </c:pt>
                <c:pt idx="35">
                  <c:v>40579</c:v>
                </c:pt>
                <c:pt idx="36">
                  <c:v>40580</c:v>
                </c:pt>
                <c:pt idx="37">
                  <c:v>40581</c:v>
                </c:pt>
                <c:pt idx="38">
                  <c:v>40582</c:v>
                </c:pt>
                <c:pt idx="39">
                  <c:v>40583</c:v>
                </c:pt>
                <c:pt idx="40">
                  <c:v>40584</c:v>
                </c:pt>
                <c:pt idx="41">
                  <c:v>40585</c:v>
                </c:pt>
                <c:pt idx="42">
                  <c:v>40586</c:v>
                </c:pt>
                <c:pt idx="43">
                  <c:v>40587</c:v>
                </c:pt>
                <c:pt idx="44">
                  <c:v>40588</c:v>
                </c:pt>
                <c:pt idx="45">
                  <c:v>40589</c:v>
                </c:pt>
                <c:pt idx="46">
                  <c:v>40590</c:v>
                </c:pt>
                <c:pt idx="47">
                  <c:v>40591</c:v>
                </c:pt>
                <c:pt idx="48">
                  <c:v>40592</c:v>
                </c:pt>
                <c:pt idx="49">
                  <c:v>40593</c:v>
                </c:pt>
                <c:pt idx="50">
                  <c:v>40594</c:v>
                </c:pt>
                <c:pt idx="51">
                  <c:v>40595</c:v>
                </c:pt>
                <c:pt idx="52">
                  <c:v>40596</c:v>
                </c:pt>
                <c:pt idx="53">
                  <c:v>40597</c:v>
                </c:pt>
                <c:pt idx="54">
                  <c:v>40598</c:v>
                </c:pt>
                <c:pt idx="55">
                  <c:v>40599</c:v>
                </c:pt>
                <c:pt idx="56">
                  <c:v>40600</c:v>
                </c:pt>
                <c:pt idx="57">
                  <c:v>40601</c:v>
                </c:pt>
                <c:pt idx="58">
                  <c:v>40602</c:v>
                </c:pt>
                <c:pt idx="59">
                  <c:v>40603</c:v>
                </c:pt>
                <c:pt idx="60">
                  <c:v>40604</c:v>
                </c:pt>
                <c:pt idx="61">
                  <c:v>40605</c:v>
                </c:pt>
                <c:pt idx="62">
                  <c:v>40606</c:v>
                </c:pt>
                <c:pt idx="63">
                  <c:v>40607</c:v>
                </c:pt>
                <c:pt idx="64">
                  <c:v>40608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40614</c:v>
                </c:pt>
                <c:pt idx="71">
                  <c:v>40615</c:v>
                </c:pt>
                <c:pt idx="72">
                  <c:v>40616</c:v>
                </c:pt>
                <c:pt idx="73">
                  <c:v>40617</c:v>
                </c:pt>
                <c:pt idx="74">
                  <c:v>40618</c:v>
                </c:pt>
                <c:pt idx="75">
                  <c:v>40619</c:v>
                </c:pt>
                <c:pt idx="76">
                  <c:v>40620</c:v>
                </c:pt>
                <c:pt idx="77">
                  <c:v>40621</c:v>
                </c:pt>
                <c:pt idx="78">
                  <c:v>40622</c:v>
                </c:pt>
                <c:pt idx="79">
                  <c:v>40623</c:v>
                </c:pt>
                <c:pt idx="80">
                  <c:v>40624</c:v>
                </c:pt>
                <c:pt idx="81">
                  <c:v>40625</c:v>
                </c:pt>
                <c:pt idx="82">
                  <c:v>40626</c:v>
                </c:pt>
                <c:pt idx="83">
                  <c:v>40627</c:v>
                </c:pt>
                <c:pt idx="84">
                  <c:v>40628</c:v>
                </c:pt>
                <c:pt idx="85">
                  <c:v>40629</c:v>
                </c:pt>
                <c:pt idx="86">
                  <c:v>40630</c:v>
                </c:pt>
                <c:pt idx="87">
                  <c:v>40631</c:v>
                </c:pt>
                <c:pt idx="88">
                  <c:v>40632</c:v>
                </c:pt>
                <c:pt idx="89">
                  <c:v>40633</c:v>
                </c:pt>
                <c:pt idx="90">
                  <c:v>40634</c:v>
                </c:pt>
                <c:pt idx="91">
                  <c:v>40635</c:v>
                </c:pt>
                <c:pt idx="92">
                  <c:v>40636</c:v>
                </c:pt>
                <c:pt idx="93">
                  <c:v>40637</c:v>
                </c:pt>
                <c:pt idx="94">
                  <c:v>40638</c:v>
                </c:pt>
                <c:pt idx="95">
                  <c:v>40639</c:v>
                </c:pt>
                <c:pt idx="96">
                  <c:v>40640</c:v>
                </c:pt>
                <c:pt idx="97">
                  <c:v>40641</c:v>
                </c:pt>
                <c:pt idx="98">
                  <c:v>40642</c:v>
                </c:pt>
                <c:pt idx="99">
                  <c:v>40643</c:v>
                </c:pt>
                <c:pt idx="100">
                  <c:v>40644</c:v>
                </c:pt>
                <c:pt idx="101">
                  <c:v>40645</c:v>
                </c:pt>
                <c:pt idx="102">
                  <c:v>40646</c:v>
                </c:pt>
                <c:pt idx="103">
                  <c:v>40647</c:v>
                </c:pt>
                <c:pt idx="104">
                  <c:v>40648</c:v>
                </c:pt>
                <c:pt idx="105">
                  <c:v>40649</c:v>
                </c:pt>
                <c:pt idx="106">
                  <c:v>40650</c:v>
                </c:pt>
                <c:pt idx="107">
                  <c:v>40651</c:v>
                </c:pt>
                <c:pt idx="108">
                  <c:v>40652</c:v>
                </c:pt>
                <c:pt idx="109">
                  <c:v>40653</c:v>
                </c:pt>
                <c:pt idx="110">
                  <c:v>40654</c:v>
                </c:pt>
                <c:pt idx="111">
                  <c:v>40655</c:v>
                </c:pt>
                <c:pt idx="112">
                  <c:v>40656</c:v>
                </c:pt>
                <c:pt idx="113">
                  <c:v>40657</c:v>
                </c:pt>
                <c:pt idx="114">
                  <c:v>40658</c:v>
                </c:pt>
                <c:pt idx="115">
                  <c:v>40659</c:v>
                </c:pt>
                <c:pt idx="116">
                  <c:v>40660</c:v>
                </c:pt>
                <c:pt idx="117">
                  <c:v>40661</c:v>
                </c:pt>
                <c:pt idx="118">
                  <c:v>40662</c:v>
                </c:pt>
                <c:pt idx="119">
                  <c:v>40663</c:v>
                </c:pt>
                <c:pt idx="120">
                  <c:v>40664</c:v>
                </c:pt>
                <c:pt idx="121">
                  <c:v>40665</c:v>
                </c:pt>
                <c:pt idx="122">
                  <c:v>40666</c:v>
                </c:pt>
                <c:pt idx="123">
                  <c:v>40667</c:v>
                </c:pt>
                <c:pt idx="124">
                  <c:v>40668</c:v>
                </c:pt>
                <c:pt idx="125">
                  <c:v>40669</c:v>
                </c:pt>
                <c:pt idx="126">
                  <c:v>40670</c:v>
                </c:pt>
                <c:pt idx="127">
                  <c:v>40671</c:v>
                </c:pt>
                <c:pt idx="128">
                  <c:v>40672</c:v>
                </c:pt>
                <c:pt idx="129">
                  <c:v>40673</c:v>
                </c:pt>
                <c:pt idx="130">
                  <c:v>40674</c:v>
                </c:pt>
                <c:pt idx="131">
                  <c:v>40675</c:v>
                </c:pt>
                <c:pt idx="132">
                  <c:v>40676</c:v>
                </c:pt>
                <c:pt idx="133">
                  <c:v>40677</c:v>
                </c:pt>
                <c:pt idx="134">
                  <c:v>40678</c:v>
                </c:pt>
                <c:pt idx="135">
                  <c:v>40679</c:v>
                </c:pt>
                <c:pt idx="136">
                  <c:v>40680</c:v>
                </c:pt>
                <c:pt idx="137">
                  <c:v>40681</c:v>
                </c:pt>
                <c:pt idx="138">
                  <c:v>40682</c:v>
                </c:pt>
                <c:pt idx="139">
                  <c:v>40683</c:v>
                </c:pt>
                <c:pt idx="140">
                  <c:v>40684</c:v>
                </c:pt>
                <c:pt idx="141">
                  <c:v>40685</c:v>
                </c:pt>
                <c:pt idx="142">
                  <c:v>40686</c:v>
                </c:pt>
                <c:pt idx="143">
                  <c:v>40687</c:v>
                </c:pt>
                <c:pt idx="144">
                  <c:v>40688</c:v>
                </c:pt>
                <c:pt idx="145">
                  <c:v>40689</c:v>
                </c:pt>
                <c:pt idx="146">
                  <c:v>40690</c:v>
                </c:pt>
                <c:pt idx="147">
                  <c:v>40691</c:v>
                </c:pt>
                <c:pt idx="148">
                  <c:v>40692</c:v>
                </c:pt>
                <c:pt idx="149">
                  <c:v>40693</c:v>
                </c:pt>
                <c:pt idx="150">
                  <c:v>40694</c:v>
                </c:pt>
                <c:pt idx="151">
                  <c:v>40695</c:v>
                </c:pt>
                <c:pt idx="152">
                  <c:v>40696</c:v>
                </c:pt>
                <c:pt idx="153">
                  <c:v>40697</c:v>
                </c:pt>
                <c:pt idx="154">
                  <c:v>40698</c:v>
                </c:pt>
                <c:pt idx="155">
                  <c:v>40699</c:v>
                </c:pt>
                <c:pt idx="156">
                  <c:v>40700</c:v>
                </c:pt>
                <c:pt idx="157">
                  <c:v>40701</c:v>
                </c:pt>
                <c:pt idx="158">
                  <c:v>40702</c:v>
                </c:pt>
                <c:pt idx="159">
                  <c:v>40703</c:v>
                </c:pt>
                <c:pt idx="160">
                  <c:v>40704</c:v>
                </c:pt>
                <c:pt idx="161">
                  <c:v>40705</c:v>
                </c:pt>
                <c:pt idx="162">
                  <c:v>40706</c:v>
                </c:pt>
                <c:pt idx="163">
                  <c:v>40707</c:v>
                </c:pt>
                <c:pt idx="164">
                  <c:v>40708</c:v>
                </c:pt>
                <c:pt idx="165">
                  <c:v>40709</c:v>
                </c:pt>
                <c:pt idx="166">
                  <c:v>40710</c:v>
                </c:pt>
                <c:pt idx="167">
                  <c:v>40711</c:v>
                </c:pt>
                <c:pt idx="168">
                  <c:v>40712</c:v>
                </c:pt>
                <c:pt idx="169">
                  <c:v>40713</c:v>
                </c:pt>
                <c:pt idx="170">
                  <c:v>40714</c:v>
                </c:pt>
                <c:pt idx="171">
                  <c:v>40715</c:v>
                </c:pt>
                <c:pt idx="172">
                  <c:v>40716</c:v>
                </c:pt>
                <c:pt idx="173">
                  <c:v>40717</c:v>
                </c:pt>
                <c:pt idx="174">
                  <c:v>40718</c:v>
                </c:pt>
                <c:pt idx="175">
                  <c:v>40719</c:v>
                </c:pt>
                <c:pt idx="176">
                  <c:v>40720</c:v>
                </c:pt>
                <c:pt idx="177">
                  <c:v>40721</c:v>
                </c:pt>
                <c:pt idx="178">
                  <c:v>40722</c:v>
                </c:pt>
                <c:pt idx="179">
                  <c:v>40723</c:v>
                </c:pt>
                <c:pt idx="180">
                  <c:v>40724</c:v>
                </c:pt>
                <c:pt idx="181">
                  <c:v>40725</c:v>
                </c:pt>
                <c:pt idx="182">
                  <c:v>40726</c:v>
                </c:pt>
                <c:pt idx="183">
                  <c:v>40727</c:v>
                </c:pt>
                <c:pt idx="184">
                  <c:v>40728</c:v>
                </c:pt>
                <c:pt idx="185">
                  <c:v>40729</c:v>
                </c:pt>
                <c:pt idx="186">
                  <c:v>40730</c:v>
                </c:pt>
                <c:pt idx="187">
                  <c:v>40731</c:v>
                </c:pt>
                <c:pt idx="188">
                  <c:v>40732</c:v>
                </c:pt>
                <c:pt idx="189">
                  <c:v>40733</c:v>
                </c:pt>
                <c:pt idx="190">
                  <c:v>40734</c:v>
                </c:pt>
                <c:pt idx="191">
                  <c:v>40735</c:v>
                </c:pt>
                <c:pt idx="192">
                  <c:v>40736</c:v>
                </c:pt>
                <c:pt idx="193">
                  <c:v>40737</c:v>
                </c:pt>
                <c:pt idx="194">
                  <c:v>40738</c:v>
                </c:pt>
                <c:pt idx="195">
                  <c:v>40739</c:v>
                </c:pt>
                <c:pt idx="196">
                  <c:v>40740</c:v>
                </c:pt>
                <c:pt idx="197">
                  <c:v>40741</c:v>
                </c:pt>
                <c:pt idx="198">
                  <c:v>40742</c:v>
                </c:pt>
                <c:pt idx="199">
                  <c:v>40743</c:v>
                </c:pt>
                <c:pt idx="200">
                  <c:v>40744</c:v>
                </c:pt>
                <c:pt idx="201">
                  <c:v>40745</c:v>
                </c:pt>
                <c:pt idx="202">
                  <c:v>40746</c:v>
                </c:pt>
                <c:pt idx="203">
                  <c:v>40747</c:v>
                </c:pt>
                <c:pt idx="204">
                  <c:v>40748</c:v>
                </c:pt>
                <c:pt idx="205">
                  <c:v>40749</c:v>
                </c:pt>
                <c:pt idx="206">
                  <c:v>40750</c:v>
                </c:pt>
                <c:pt idx="207">
                  <c:v>40751</c:v>
                </c:pt>
                <c:pt idx="208">
                  <c:v>40752</c:v>
                </c:pt>
                <c:pt idx="209">
                  <c:v>40753</c:v>
                </c:pt>
                <c:pt idx="210">
                  <c:v>40754</c:v>
                </c:pt>
                <c:pt idx="211">
                  <c:v>40755</c:v>
                </c:pt>
                <c:pt idx="212">
                  <c:v>40756</c:v>
                </c:pt>
                <c:pt idx="213">
                  <c:v>40757</c:v>
                </c:pt>
                <c:pt idx="214">
                  <c:v>40758</c:v>
                </c:pt>
                <c:pt idx="215">
                  <c:v>40759</c:v>
                </c:pt>
                <c:pt idx="216">
                  <c:v>40760</c:v>
                </c:pt>
                <c:pt idx="217">
                  <c:v>40761</c:v>
                </c:pt>
                <c:pt idx="218">
                  <c:v>40762</c:v>
                </c:pt>
                <c:pt idx="219">
                  <c:v>40763</c:v>
                </c:pt>
                <c:pt idx="220">
                  <c:v>40764</c:v>
                </c:pt>
                <c:pt idx="221">
                  <c:v>40765</c:v>
                </c:pt>
                <c:pt idx="222">
                  <c:v>40766</c:v>
                </c:pt>
                <c:pt idx="223">
                  <c:v>40767</c:v>
                </c:pt>
                <c:pt idx="224">
                  <c:v>40768</c:v>
                </c:pt>
                <c:pt idx="225">
                  <c:v>40769</c:v>
                </c:pt>
                <c:pt idx="226">
                  <c:v>40770</c:v>
                </c:pt>
                <c:pt idx="227">
                  <c:v>40771</c:v>
                </c:pt>
                <c:pt idx="228">
                  <c:v>40772</c:v>
                </c:pt>
                <c:pt idx="229">
                  <c:v>40773</c:v>
                </c:pt>
                <c:pt idx="230">
                  <c:v>40774</c:v>
                </c:pt>
                <c:pt idx="231">
                  <c:v>40775</c:v>
                </c:pt>
                <c:pt idx="232">
                  <c:v>40776</c:v>
                </c:pt>
                <c:pt idx="233">
                  <c:v>40777</c:v>
                </c:pt>
                <c:pt idx="234">
                  <c:v>40778</c:v>
                </c:pt>
                <c:pt idx="235">
                  <c:v>40779</c:v>
                </c:pt>
                <c:pt idx="236">
                  <c:v>40780</c:v>
                </c:pt>
                <c:pt idx="237">
                  <c:v>40781</c:v>
                </c:pt>
                <c:pt idx="238">
                  <c:v>40782</c:v>
                </c:pt>
                <c:pt idx="239">
                  <c:v>40783</c:v>
                </c:pt>
                <c:pt idx="240">
                  <c:v>40784</c:v>
                </c:pt>
                <c:pt idx="241">
                  <c:v>40785</c:v>
                </c:pt>
                <c:pt idx="242">
                  <c:v>40786</c:v>
                </c:pt>
                <c:pt idx="243">
                  <c:v>40787</c:v>
                </c:pt>
                <c:pt idx="244">
                  <c:v>40788</c:v>
                </c:pt>
                <c:pt idx="245">
                  <c:v>40789</c:v>
                </c:pt>
                <c:pt idx="246">
                  <c:v>40790</c:v>
                </c:pt>
                <c:pt idx="247">
                  <c:v>40791</c:v>
                </c:pt>
                <c:pt idx="248">
                  <c:v>40792</c:v>
                </c:pt>
                <c:pt idx="249">
                  <c:v>40793</c:v>
                </c:pt>
                <c:pt idx="250">
                  <c:v>40794</c:v>
                </c:pt>
                <c:pt idx="251">
                  <c:v>40795</c:v>
                </c:pt>
                <c:pt idx="252">
                  <c:v>40796</c:v>
                </c:pt>
                <c:pt idx="253">
                  <c:v>40797</c:v>
                </c:pt>
                <c:pt idx="254">
                  <c:v>40798</c:v>
                </c:pt>
                <c:pt idx="255">
                  <c:v>40799</c:v>
                </c:pt>
                <c:pt idx="256">
                  <c:v>40800</c:v>
                </c:pt>
                <c:pt idx="257">
                  <c:v>40801</c:v>
                </c:pt>
                <c:pt idx="258">
                  <c:v>40802</c:v>
                </c:pt>
                <c:pt idx="259">
                  <c:v>40803</c:v>
                </c:pt>
                <c:pt idx="260">
                  <c:v>40804</c:v>
                </c:pt>
                <c:pt idx="261">
                  <c:v>40805</c:v>
                </c:pt>
                <c:pt idx="262">
                  <c:v>40806</c:v>
                </c:pt>
                <c:pt idx="263">
                  <c:v>40807</c:v>
                </c:pt>
                <c:pt idx="264">
                  <c:v>40808</c:v>
                </c:pt>
                <c:pt idx="265">
                  <c:v>40809</c:v>
                </c:pt>
                <c:pt idx="266">
                  <c:v>40810</c:v>
                </c:pt>
                <c:pt idx="267">
                  <c:v>40811</c:v>
                </c:pt>
                <c:pt idx="268">
                  <c:v>40812</c:v>
                </c:pt>
                <c:pt idx="269">
                  <c:v>40813</c:v>
                </c:pt>
                <c:pt idx="270">
                  <c:v>40814</c:v>
                </c:pt>
                <c:pt idx="271">
                  <c:v>40815</c:v>
                </c:pt>
                <c:pt idx="272">
                  <c:v>40816</c:v>
                </c:pt>
                <c:pt idx="273">
                  <c:v>40817</c:v>
                </c:pt>
                <c:pt idx="274">
                  <c:v>40818</c:v>
                </c:pt>
                <c:pt idx="275">
                  <c:v>40819</c:v>
                </c:pt>
                <c:pt idx="276">
                  <c:v>40820</c:v>
                </c:pt>
                <c:pt idx="277">
                  <c:v>40821</c:v>
                </c:pt>
                <c:pt idx="278">
                  <c:v>40822</c:v>
                </c:pt>
                <c:pt idx="279">
                  <c:v>40823</c:v>
                </c:pt>
                <c:pt idx="280">
                  <c:v>40824</c:v>
                </c:pt>
                <c:pt idx="281">
                  <c:v>40825</c:v>
                </c:pt>
                <c:pt idx="282">
                  <c:v>40826</c:v>
                </c:pt>
                <c:pt idx="283">
                  <c:v>40827</c:v>
                </c:pt>
                <c:pt idx="284">
                  <c:v>40828</c:v>
                </c:pt>
                <c:pt idx="285">
                  <c:v>40829</c:v>
                </c:pt>
                <c:pt idx="286">
                  <c:v>40830</c:v>
                </c:pt>
                <c:pt idx="287">
                  <c:v>40831</c:v>
                </c:pt>
                <c:pt idx="288">
                  <c:v>40832</c:v>
                </c:pt>
                <c:pt idx="289">
                  <c:v>40833</c:v>
                </c:pt>
                <c:pt idx="290">
                  <c:v>40834</c:v>
                </c:pt>
                <c:pt idx="291">
                  <c:v>40835</c:v>
                </c:pt>
                <c:pt idx="292">
                  <c:v>40836</c:v>
                </c:pt>
                <c:pt idx="293">
                  <c:v>40837</c:v>
                </c:pt>
                <c:pt idx="294">
                  <c:v>40838</c:v>
                </c:pt>
                <c:pt idx="295">
                  <c:v>40839</c:v>
                </c:pt>
                <c:pt idx="296">
                  <c:v>40840</c:v>
                </c:pt>
                <c:pt idx="297">
                  <c:v>40841</c:v>
                </c:pt>
                <c:pt idx="298">
                  <c:v>40842</c:v>
                </c:pt>
                <c:pt idx="299">
                  <c:v>40843</c:v>
                </c:pt>
                <c:pt idx="300">
                  <c:v>40844</c:v>
                </c:pt>
                <c:pt idx="301">
                  <c:v>40845</c:v>
                </c:pt>
                <c:pt idx="302">
                  <c:v>40846</c:v>
                </c:pt>
                <c:pt idx="303">
                  <c:v>40847</c:v>
                </c:pt>
                <c:pt idx="304">
                  <c:v>40848</c:v>
                </c:pt>
                <c:pt idx="305">
                  <c:v>40849</c:v>
                </c:pt>
                <c:pt idx="306">
                  <c:v>40850</c:v>
                </c:pt>
                <c:pt idx="307">
                  <c:v>40851</c:v>
                </c:pt>
                <c:pt idx="308">
                  <c:v>40852</c:v>
                </c:pt>
                <c:pt idx="309">
                  <c:v>40853</c:v>
                </c:pt>
                <c:pt idx="310">
                  <c:v>40854</c:v>
                </c:pt>
                <c:pt idx="311">
                  <c:v>40855</c:v>
                </c:pt>
                <c:pt idx="312">
                  <c:v>40856</c:v>
                </c:pt>
                <c:pt idx="313">
                  <c:v>40857</c:v>
                </c:pt>
                <c:pt idx="314">
                  <c:v>40858</c:v>
                </c:pt>
                <c:pt idx="315">
                  <c:v>40859</c:v>
                </c:pt>
                <c:pt idx="316">
                  <c:v>40860</c:v>
                </c:pt>
                <c:pt idx="317">
                  <c:v>40861</c:v>
                </c:pt>
                <c:pt idx="318">
                  <c:v>40862</c:v>
                </c:pt>
                <c:pt idx="319">
                  <c:v>40863</c:v>
                </c:pt>
                <c:pt idx="320">
                  <c:v>40864</c:v>
                </c:pt>
                <c:pt idx="321">
                  <c:v>40865</c:v>
                </c:pt>
                <c:pt idx="322">
                  <c:v>40866</c:v>
                </c:pt>
                <c:pt idx="323">
                  <c:v>40867</c:v>
                </c:pt>
                <c:pt idx="324">
                  <c:v>40868</c:v>
                </c:pt>
                <c:pt idx="325">
                  <c:v>40869</c:v>
                </c:pt>
                <c:pt idx="326">
                  <c:v>40870</c:v>
                </c:pt>
                <c:pt idx="327">
                  <c:v>40871</c:v>
                </c:pt>
                <c:pt idx="328">
                  <c:v>40872</c:v>
                </c:pt>
                <c:pt idx="329">
                  <c:v>40873</c:v>
                </c:pt>
                <c:pt idx="330">
                  <c:v>40874</c:v>
                </c:pt>
                <c:pt idx="331">
                  <c:v>40875</c:v>
                </c:pt>
                <c:pt idx="332">
                  <c:v>40876</c:v>
                </c:pt>
                <c:pt idx="333">
                  <c:v>40877</c:v>
                </c:pt>
                <c:pt idx="334">
                  <c:v>40878</c:v>
                </c:pt>
                <c:pt idx="335">
                  <c:v>40879</c:v>
                </c:pt>
                <c:pt idx="336">
                  <c:v>40880</c:v>
                </c:pt>
                <c:pt idx="337">
                  <c:v>40881</c:v>
                </c:pt>
                <c:pt idx="338">
                  <c:v>40882</c:v>
                </c:pt>
                <c:pt idx="339">
                  <c:v>40883</c:v>
                </c:pt>
                <c:pt idx="340">
                  <c:v>40884</c:v>
                </c:pt>
                <c:pt idx="341">
                  <c:v>40885</c:v>
                </c:pt>
                <c:pt idx="342">
                  <c:v>40886</c:v>
                </c:pt>
                <c:pt idx="343">
                  <c:v>40887</c:v>
                </c:pt>
                <c:pt idx="344">
                  <c:v>40888</c:v>
                </c:pt>
                <c:pt idx="345">
                  <c:v>40889</c:v>
                </c:pt>
                <c:pt idx="346">
                  <c:v>40890</c:v>
                </c:pt>
                <c:pt idx="347">
                  <c:v>40891</c:v>
                </c:pt>
                <c:pt idx="348">
                  <c:v>40892</c:v>
                </c:pt>
                <c:pt idx="349">
                  <c:v>40893</c:v>
                </c:pt>
                <c:pt idx="350">
                  <c:v>40894</c:v>
                </c:pt>
                <c:pt idx="351">
                  <c:v>40895</c:v>
                </c:pt>
                <c:pt idx="352">
                  <c:v>40896</c:v>
                </c:pt>
                <c:pt idx="353">
                  <c:v>40897</c:v>
                </c:pt>
                <c:pt idx="354">
                  <c:v>40898</c:v>
                </c:pt>
                <c:pt idx="355">
                  <c:v>40899</c:v>
                </c:pt>
                <c:pt idx="356">
                  <c:v>40900</c:v>
                </c:pt>
                <c:pt idx="357">
                  <c:v>40901</c:v>
                </c:pt>
                <c:pt idx="358">
                  <c:v>40902</c:v>
                </c:pt>
                <c:pt idx="359">
                  <c:v>40903</c:v>
                </c:pt>
                <c:pt idx="360">
                  <c:v>40904</c:v>
                </c:pt>
                <c:pt idx="361">
                  <c:v>40905</c:v>
                </c:pt>
                <c:pt idx="362">
                  <c:v>40906</c:v>
                </c:pt>
                <c:pt idx="363">
                  <c:v>40907</c:v>
                </c:pt>
                <c:pt idx="364">
                  <c:v>40908</c:v>
                </c:pt>
                <c:pt idx="365">
                  <c:v>40909</c:v>
                </c:pt>
              </c:numCache>
            </c:numRef>
          </c:xVal>
          <c:yVal>
            <c:numRef>
              <c:f>daylength!$N$2:$N$367</c:f>
              <c:numCache>
                <c:formatCode>0.00</c:formatCode>
                <c:ptCount val="366"/>
                <c:pt idx="0">
                  <c:v>8.9833333333333343</c:v>
                </c:pt>
                <c:pt idx="1">
                  <c:v>9</c:v>
                </c:pt>
                <c:pt idx="2">
                  <c:v>9.0166666666666657</c:v>
                </c:pt>
                <c:pt idx="3">
                  <c:v>9.0333333333333332</c:v>
                </c:pt>
                <c:pt idx="4">
                  <c:v>9.0500000000000007</c:v>
                </c:pt>
                <c:pt idx="5">
                  <c:v>9.0666666666666664</c:v>
                </c:pt>
                <c:pt idx="6">
                  <c:v>9.1</c:v>
                </c:pt>
                <c:pt idx="7">
                  <c:v>9.1166666666666671</c:v>
                </c:pt>
                <c:pt idx="8">
                  <c:v>9.1333333333333329</c:v>
                </c:pt>
                <c:pt idx="9">
                  <c:v>9.1499999999999986</c:v>
                </c:pt>
                <c:pt idx="10">
                  <c:v>9.1833333333333336</c:v>
                </c:pt>
                <c:pt idx="11">
                  <c:v>9.1999999999999993</c:v>
                </c:pt>
                <c:pt idx="12">
                  <c:v>9.216666666666665</c:v>
                </c:pt>
                <c:pt idx="13">
                  <c:v>9.25</c:v>
                </c:pt>
                <c:pt idx="14">
                  <c:v>9.2833333333333332</c:v>
                </c:pt>
                <c:pt idx="15">
                  <c:v>9.3166666666666664</c:v>
                </c:pt>
                <c:pt idx="16">
                  <c:v>9.3333333333333339</c:v>
                </c:pt>
                <c:pt idx="17">
                  <c:v>9.3666666666666671</c:v>
                </c:pt>
                <c:pt idx="18">
                  <c:v>9.4166666666666661</c:v>
                </c:pt>
                <c:pt idx="19">
                  <c:v>9.4333333333333336</c:v>
                </c:pt>
                <c:pt idx="20">
                  <c:v>9.4666666666666668</c:v>
                </c:pt>
                <c:pt idx="21">
                  <c:v>9.5166666666666657</c:v>
                </c:pt>
                <c:pt idx="22">
                  <c:v>9.5333333333333332</c:v>
                </c:pt>
                <c:pt idx="23">
                  <c:v>9.5666666666666664</c:v>
                </c:pt>
                <c:pt idx="24">
                  <c:v>9.6166666666666654</c:v>
                </c:pt>
                <c:pt idx="25">
                  <c:v>9.6499999999999986</c:v>
                </c:pt>
                <c:pt idx="26">
                  <c:v>9.6833333333333318</c:v>
                </c:pt>
                <c:pt idx="27">
                  <c:v>9.7333333333333325</c:v>
                </c:pt>
                <c:pt idx="28">
                  <c:v>9.7666666666666675</c:v>
                </c:pt>
                <c:pt idx="29">
                  <c:v>9.8000000000000007</c:v>
                </c:pt>
                <c:pt idx="30">
                  <c:v>9.8500000000000014</c:v>
                </c:pt>
                <c:pt idx="31">
                  <c:v>9.8833333333333346</c:v>
                </c:pt>
                <c:pt idx="32">
                  <c:v>9.9166666666666679</c:v>
                </c:pt>
                <c:pt idx="33">
                  <c:v>9.9666666666666668</c:v>
                </c:pt>
                <c:pt idx="34">
                  <c:v>10</c:v>
                </c:pt>
                <c:pt idx="35">
                  <c:v>10.033333333333333</c:v>
                </c:pt>
                <c:pt idx="36">
                  <c:v>10.1</c:v>
                </c:pt>
                <c:pt idx="37">
                  <c:v>10.133333333333333</c:v>
                </c:pt>
                <c:pt idx="38">
                  <c:v>10.183333333333334</c:v>
                </c:pt>
                <c:pt idx="39">
                  <c:v>10.216666666666669</c:v>
                </c:pt>
                <c:pt idx="40">
                  <c:v>10.266666666666667</c:v>
                </c:pt>
                <c:pt idx="41">
                  <c:v>10.316666666666666</c:v>
                </c:pt>
                <c:pt idx="42">
                  <c:v>10.350000000000001</c:v>
                </c:pt>
                <c:pt idx="43">
                  <c:v>10.4</c:v>
                </c:pt>
                <c:pt idx="44">
                  <c:v>10.45</c:v>
                </c:pt>
                <c:pt idx="45">
                  <c:v>10.5</c:v>
                </c:pt>
                <c:pt idx="46">
                  <c:v>10.533333333333333</c:v>
                </c:pt>
                <c:pt idx="47">
                  <c:v>10.6</c:v>
                </c:pt>
                <c:pt idx="48">
                  <c:v>10.633333333333333</c:v>
                </c:pt>
                <c:pt idx="49">
                  <c:v>10.7</c:v>
                </c:pt>
                <c:pt idx="50">
                  <c:v>10.733333333333333</c:v>
                </c:pt>
                <c:pt idx="51">
                  <c:v>10.783333333333331</c:v>
                </c:pt>
                <c:pt idx="52">
                  <c:v>10.833333333333332</c:v>
                </c:pt>
                <c:pt idx="53">
                  <c:v>10.883333333333333</c:v>
                </c:pt>
                <c:pt idx="54">
                  <c:v>10.916666666666666</c:v>
                </c:pt>
                <c:pt idx="55">
                  <c:v>10.966666666666667</c:v>
                </c:pt>
                <c:pt idx="56">
                  <c:v>11.033333333333333</c:v>
                </c:pt>
                <c:pt idx="57">
                  <c:v>11.066666666666666</c:v>
                </c:pt>
                <c:pt idx="58">
                  <c:v>11.116666666666665</c:v>
                </c:pt>
                <c:pt idx="59">
                  <c:v>11.183333333333332</c:v>
                </c:pt>
                <c:pt idx="60">
                  <c:v>11.216666666666665</c:v>
                </c:pt>
                <c:pt idx="61">
                  <c:v>11.266666666666666</c:v>
                </c:pt>
                <c:pt idx="62">
                  <c:v>11.333333333333334</c:v>
                </c:pt>
                <c:pt idx="63">
                  <c:v>11.366666666666667</c:v>
                </c:pt>
                <c:pt idx="64">
                  <c:v>11.416666666666668</c:v>
                </c:pt>
                <c:pt idx="65">
                  <c:v>11.466666666666667</c:v>
                </c:pt>
                <c:pt idx="66">
                  <c:v>11.533333333333333</c:v>
                </c:pt>
                <c:pt idx="67">
                  <c:v>11.566666666666668</c:v>
                </c:pt>
                <c:pt idx="68">
                  <c:v>11.616666666666667</c:v>
                </c:pt>
                <c:pt idx="69">
                  <c:v>11.666666666666668</c:v>
                </c:pt>
                <c:pt idx="70">
                  <c:v>11.733333333333334</c:v>
                </c:pt>
                <c:pt idx="71">
                  <c:v>11.766666666666667</c:v>
                </c:pt>
                <c:pt idx="72">
                  <c:v>11.816666666666666</c:v>
                </c:pt>
                <c:pt idx="73">
                  <c:v>11.866666666666667</c:v>
                </c:pt>
                <c:pt idx="74">
                  <c:v>11.933333333333334</c:v>
                </c:pt>
                <c:pt idx="75">
                  <c:v>11.983333333333334</c:v>
                </c:pt>
                <c:pt idx="76">
                  <c:v>12.016666666666666</c:v>
                </c:pt>
                <c:pt idx="77">
                  <c:v>12.066666666666666</c:v>
                </c:pt>
                <c:pt idx="78">
                  <c:v>12.116666666666667</c:v>
                </c:pt>
                <c:pt idx="79">
                  <c:v>12.183333333333334</c:v>
                </c:pt>
                <c:pt idx="80">
                  <c:v>12.233333333333333</c:v>
                </c:pt>
                <c:pt idx="81">
                  <c:v>12.266666666666666</c:v>
                </c:pt>
                <c:pt idx="82">
                  <c:v>12.316666666666666</c:v>
                </c:pt>
                <c:pt idx="83">
                  <c:v>12.383333333333335</c:v>
                </c:pt>
                <c:pt idx="84">
                  <c:v>12.433333333333332</c:v>
                </c:pt>
                <c:pt idx="85">
                  <c:v>12.483333333333334</c:v>
                </c:pt>
                <c:pt idx="86">
                  <c:v>12.516666666666667</c:v>
                </c:pt>
                <c:pt idx="87">
                  <c:v>12.566666666666665</c:v>
                </c:pt>
                <c:pt idx="88">
                  <c:v>12.633333333333331</c:v>
                </c:pt>
                <c:pt idx="89">
                  <c:v>12.683333333333334</c:v>
                </c:pt>
                <c:pt idx="90">
                  <c:v>12.733333333333334</c:v>
                </c:pt>
                <c:pt idx="91">
                  <c:v>12.766666666666666</c:v>
                </c:pt>
                <c:pt idx="92">
                  <c:v>12.816666666666666</c:v>
                </c:pt>
                <c:pt idx="93">
                  <c:v>12.883333333333333</c:v>
                </c:pt>
                <c:pt idx="94">
                  <c:v>12.933333333333334</c:v>
                </c:pt>
                <c:pt idx="95">
                  <c:v>12.983333333333333</c:v>
                </c:pt>
                <c:pt idx="96">
                  <c:v>13.016666666666666</c:v>
                </c:pt>
                <c:pt idx="97">
                  <c:v>13.066666666666666</c:v>
                </c:pt>
                <c:pt idx="98">
                  <c:v>13.133333333333335</c:v>
                </c:pt>
                <c:pt idx="99">
                  <c:v>13.183333333333334</c:v>
                </c:pt>
                <c:pt idx="100">
                  <c:v>13.216666666666669</c:v>
                </c:pt>
                <c:pt idx="101">
                  <c:v>13.266666666666667</c:v>
                </c:pt>
                <c:pt idx="102">
                  <c:v>13.316666666666666</c:v>
                </c:pt>
                <c:pt idx="103">
                  <c:v>13.366666666666667</c:v>
                </c:pt>
                <c:pt idx="104">
                  <c:v>13.416666666666668</c:v>
                </c:pt>
                <c:pt idx="105">
                  <c:v>13.466666666666667</c:v>
                </c:pt>
                <c:pt idx="106">
                  <c:v>13.516666666666666</c:v>
                </c:pt>
                <c:pt idx="107">
                  <c:v>13.55</c:v>
                </c:pt>
                <c:pt idx="108">
                  <c:v>13.616666666666669</c:v>
                </c:pt>
                <c:pt idx="109">
                  <c:v>13.650000000000002</c:v>
                </c:pt>
                <c:pt idx="110">
                  <c:v>13.7</c:v>
                </c:pt>
                <c:pt idx="111">
                  <c:v>13.750000000000002</c:v>
                </c:pt>
                <c:pt idx="112">
                  <c:v>13.783333333333335</c:v>
                </c:pt>
                <c:pt idx="113">
                  <c:v>13.850000000000001</c:v>
                </c:pt>
                <c:pt idx="114">
                  <c:v>13.883333333333335</c:v>
                </c:pt>
                <c:pt idx="115">
                  <c:v>13.933333333333332</c:v>
                </c:pt>
                <c:pt idx="116">
                  <c:v>13.966666666666669</c:v>
                </c:pt>
                <c:pt idx="117">
                  <c:v>14.016666666666667</c:v>
                </c:pt>
                <c:pt idx="118">
                  <c:v>14.05</c:v>
                </c:pt>
                <c:pt idx="119">
                  <c:v>14.116666666666667</c:v>
                </c:pt>
                <c:pt idx="120">
                  <c:v>14.15</c:v>
                </c:pt>
                <c:pt idx="121">
                  <c:v>14.2</c:v>
                </c:pt>
                <c:pt idx="122">
                  <c:v>14.233333333333334</c:v>
                </c:pt>
                <c:pt idx="123">
                  <c:v>14.266666666666666</c:v>
                </c:pt>
                <c:pt idx="124">
                  <c:v>14.333333333333332</c:v>
                </c:pt>
                <c:pt idx="125">
                  <c:v>14.366666666666667</c:v>
                </c:pt>
                <c:pt idx="126">
                  <c:v>14.399999999999999</c:v>
                </c:pt>
                <c:pt idx="127">
                  <c:v>14.45</c:v>
                </c:pt>
                <c:pt idx="128">
                  <c:v>14.483333333333333</c:v>
                </c:pt>
                <c:pt idx="129">
                  <c:v>14.516666666666666</c:v>
                </c:pt>
                <c:pt idx="130">
                  <c:v>14.549999999999999</c:v>
                </c:pt>
                <c:pt idx="131">
                  <c:v>14.616666666666665</c:v>
                </c:pt>
                <c:pt idx="132">
                  <c:v>14.649999999999999</c:v>
                </c:pt>
                <c:pt idx="133">
                  <c:v>14.683333333333332</c:v>
                </c:pt>
                <c:pt idx="134">
                  <c:v>14.716666666666665</c:v>
                </c:pt>
                <c:pt idx="135">
                  <c:v>14.749999999999998</c:v>
                </c:pt>
                <c:pt idx="136">
                  <c:v>14.783333333333331</c:v>
                </c:pt>
                <c:pt idx="137">
                  <c:v>14.816666666666666</c:v>
                </c:pt>
                <c:pt idx="138">
                  <c:v>14.850000000000001</c:v>
                </c:pt>
                <c:pt idx="139">
                  <c:v>14.883333333333333</c:v>
                </c:pt>
                <c:pt idx="140">
                  <c:v>14.916666666666668</c:v>
                </c:pt>
                <c:pt idx="141">
                  <c:v>14.95</c:v>
                </c:pt>
                <c:pt idx="142">
                  <c:v>14.983333333333334</c:v>
                </c:pt>
                <c:pt idx="143">
                  <c:v>15.016666666666669</c:v>
                </c:pt>
                <c:pt idx="144">
                  <c:v>15.033333333333333</c:v>
                </c:pt>
                <c:pt idx="145">
                  <c:v>15.066666666666666</c:v>
                </c:pt>
                <c:pt idx="146">
                  <c:v>15.1</c:v>
                </c:pt>
                <c:pt idx="147">
                  <c:v>15.133333333333333</c:v>
                </c:pt>
                <c:pt idx="148">
                  <c:v>15.150000000000002</c:v>
                </c:pt>
                <c:pt idx="149">
                  <c:v>15.183333333333335</c:v>
                </c:pt>
                <c:pt idx="150">
                  <c:v>15.2</c:v>
                </c:pt>
                <c:pt idx="151">
                  <c:v>15.216666666666669</c:v>
                </c:pt>
                <c:pt idx="152">
                  <c:v>15.233333333333333</c:v>
                </c:pt>
                <c:pt idx="153">
                  <c:v>15.266666666666666</c:v>
                </c:pt>
                <c:pt idx="154">
                  <c:v>15.283333333333335</c:v>
                </c:pt>
                <c:pt idx="155">
                  <c:v>15.299999999999999</c:v>
                </c:pt>
                <c:pt idx="156">
                  <c:v>15.316666666666668</c:v>
                </c:pt>
                <c:pt idx="157">
                  <c:v>15.333333333333332</c:v>
                </c:pt>
                <c:pt idx="158">
                  <c:v>15.366666666666665</c:v>
                </c:pt>
                <c:pt idx="159">
                  <c:v>15.366666666666665</c:v>
                </c:pt>
                <c:pt idx="160">
                  <c:v>15.383333333333335</c:v>
                </c:pt>
                <c:pt idx="161">
                  <c:v>15.383333333333335</c:v>
                </c:pt>
                <c:pt idx="162">
                  <c:v>15.416666666666668</c:v>
                </c:pt>
                <c:pt idx="163">
                  <c:v>15.416666666666668</c:v>
                </c:pt>
                <c:pt idx="164">
                  <c:v>15.433333333333332</c:v>
                </c:pt>
                <c:pt idx="165">
                  <c:v>15.433333333333332</c:v>
                </c:pt>
                <c:pt idx="166">
                  <c:v>15.450000000000001</c:v>
                </c:pt>
                <c:pt idx="167">
                  <c:v>15.450000000000001</c:v>
                </c:pt>
                <c:pt idx="168">
                  <c:v>15.450000000000001</c:v>
                </c:pt>
                <c:pt idx="169">
                  <c:v>15.466666666666665</c:v>
                </c:pt>
                <c:pt idx="170">
                  <c:v>15.450000000000001</c:v>
                </c:pt>
                <c:pt idx="171">
                  <c:v>15.450000000000001</c:v>
                </c:pt>
                <c:pt idx="172">
                  <c:v>15.450000000000001</c:v>
                </c:pt>
                <c:pt idx="173">
                  <c:v>15.466666666666665</c:v>
                </c:pt>
                <c:pt idx="174">
                  <c:v>15.450000000000001</c:v>
                </c:pt>
                <c:pt idx="175">
                  <c:v>15.450000000000001</c:v>
                </c:pt>
                <c:pt idx="176">
                  <c:v>15.450000000000001</c:v>
                </c:pt>
                <c:pt idx="177">
                  <c:v>15.433333333333332</c:v>
                </c:pt>
                <c:pt idx="178">
                  <c:v>15.433333333333332</c:v>
                </c:pt>
                <c:pt idx="179">
                  <c:v>15.433333333333332</c:v>
                </c:pt>
                <c:pt idx="180">
                  <c:v>15.416666666666668</c:v>
                </c:pt>
                <c:pt idx="181">
                  <c:v>15.399999999999999</c:v>
                </c:pt>
                <c:pt idx="182">
                  <c:v>15.383333333333335</c:v>
                </c:pt>
                <c:pt idx="183">
                  <c:v>15.366666666666665</c:v>
                </c:pt>
                <c:pt idx="184">
                  <c:v>15.366666666666665</c:v>
                </c:pt>
                <c:pt idx="185">
                  <c:v>15.350000000000001</c:v>
                </c:pt>
                <c:pt idx="186">
                  <c:v>15.333333333333332</c:v>
                </c:pt>
                <c:pt idx="187">
                  <c:v>15.316666666666668</c:v>
                </c:pt>
                <c:pt idx="188">
                  <c:v>15.283333333333335</c:v>
                </c:pt>
                <c:pt idx="189">
                  <c:v>15.283333333333335</c:v>
                </c:pt>
                <c:pt idx="190">
                  <c:v>15.266666666666666</c:v>
                </c:pt>
                <c:pt idx="191">
                  <c:v>15.233333333333333</c:v>
                </c:pt>
                <c:pt idx="192">
                  <c:v>15.216666666666665</c:v>
                </c:pt>
                <c:pt idx="193">
                  <c:v>15.183333333333334</c:v>
                </c:pt>
                <c:pt idx="194">
                  <c:v>15.166666666666666</c:v>
                </c:pt>
                <c:pt idx="195">
                  <c:v>15.149999999999999</c:v>
                </c:pt>
                <c:pt idx="196">
                  <c:v>15.116666666666667</c:v>
                </c:pt>
                <c:pt idx="197">
                  <c:v>15.083333333333332</c:v>
                </c:pt>
                <c:pt idx="198">
                  <c:v>15.05</c:v>
                </c:pt>
                <c:pt idx="199">
                  <c:v>15.033333333333333</c:v>
                </c:pt>
                <c:pt idx="200">
                  <c:v>15</c:v>
                </c:pt>
                <c:pt idx="201">
                  <c:v>14.966666666666667</c:v>
                </c:pt>
                <c:pt idx="202">
                  <c:v>14.933333333333334</c:v>
                </c:pt>
                <c:pt idx="203">
                  <c:v>14.9</c:v>
                </c:pt>
                <c:pt idx="204">
                  <c:v>14.866666666666667</c:v>
                </c:pt>
                <c:pt idx="205">
                  <c:v>14.833333333333334</c:v>
                </c:pt>
                <c:pt idx="206">
                  <c:v>14.8</c:v>
                </c:pt>
                <c:pt idx="207">
                  <c:v>14.766666666666667</c:v>
                </c:pt>
                <c:pt idx="208">
                  <c:v>14.733333333333334</c:v>
                </c:pt>
                <c:pt idx="209">
                  <c:v>14.700000000000001</c:v>
                </c:pt>
                <c:pt idx="210">
                  <c:v>14.666666666666668</c:v>
                </c:pt>
                <c:pt idx="211">
                  <c:v>14.633333333333335</c:v>
                </c:pt>
                <c:pt idx="212">
                  <c:v>14.600000000000001</c:v>
                </c:pt>
                <c:pt idx="213">
                  <c:v>14.55</c:v>
                </c:pt>
                <c:pt idx="214">
                  <c:v>14.516666666666669</c:v>
                </c:pt>
                <c:pt idx="215">
                  <c:v>14.483333333333333</c:v>
                </c:pt>
                <c:pt idx="216">
                  <c:v>14.433333333333334</c:v>
                </c:pt>
                <c:pt idx="217">
                  <c:v>14.399999999999999</c:v>
                </c:pt>
                <c:pt idx="218">
                  <c:v>14.35</c:v>
                </c:pt>
                <c:pt idx="219">
                  <c:v>14.3</c:v>
                </c:pt>
                <c:pt idx="220">
                  <c:v>14.266666666666666</c:v>
                </c:pt>
                <c:pt idx="221">
                  <c:v>14.233333333333334</c:v>
                </c:pt>
                <c:pt idx="222">
                  <c:v>14.183333333333334</c:v>
                </c:pt>
                <c:pt idx="223">
                  <c:v>14.15</c:v>
                </c:pt>
                <c:pt idx="224">
                  <c:v>14.099999999999998</c:v>
                </c:pt>
                <c:pt idx="225">
                  <c:v>14.066666666666665</c:v>
                </c:pt>
                <c:pt idx="226">
                  <c:v>13.999999999999998</c:v>
                </c:pt>
                <c:pt idx="227">
                  <c:v>13.966666666666665</c:v>
                </c:pt>
                <c:pt idx="228">
                  <c:v>13.916666666666668</c:v>
                </c:pt>
                <c:pt idx="229">
                  <c:v>13.883333333333335</c:v>
                </c:pt>
                <c:pt idx="230">
                  <c:v>13.833333333333332</c:v>
                </c:pt>
                <c:pt idx="231">
                  <c:v>13.799999999999999</c:v>
                </c:pt>
                <c:pt idx="232">
                  <c:v>13.750000000000002</c:v>
                </c:pt>
                <c:pt idx="233">
                  <c:v>13.7</c:v>
                </c:pt>
                <c:pt idx="234">
                  <c:v>13.649999999999999</c:v>
                </c:pt>
                <c:pt idx="235">
                  <c:v>13.6</c:v>
                </c:pt>
                <c:pt idx="236">
                  <c:v>13.55</c:v>
                </c:pt>
                <c:pt idx="237">
                  <c:v>13.516666666666666</c:v>
                </c:pt>
                <c:pt idx="238">
                  <c:v>13.466666666666667</c:v>
                </c:pt>
                <c:pt idx="239">
                  <c:v>13.416666666666668</c:v>
                </c:pt>
                <c:pt idx="240">
                  <c:v>13.366666666666667</c:v>
                </c:pt>
                <c:pt idx="241">
                  <c:v>13.333333333333334</c:v>
                </c:pt>
                <c:pt idx="242">
                  <c:v>13.266666666666667</c:v>
                </c:pt>
                <c:pt idx="243">
                  <c:v>13.216666666666669</c:v>
                </c:pt>
                <c:pt idx="244">
                  <c:v>13.166666666666664</c:v>
                </c:pt>
                <c:pt idx="245">
                  <c:v>13.133333333333333</c:v>
                </c:pt>
                <c:pt idx="246">
                  <c:v>13.083333333333332</c:v>
                </c:pt>
                <c:pt idx="247">
                  <c:v>13.033333333333331</c:v>
                </c:pt>
                <c:pt idx="248">
                  <c:v>12.983333333333333</c:v>
                </c:pt>
                <c:pt idx="249">
                  <c:v>12.95</c:v>
                </c:pt>
                <c:pt idx="250">
                  <c:v>12.883333333333333</c:v>
                </c:pt>
                <c:pt idx="251">
                  <c:v>12.833333333333332</c:v>
                </c:pt>
                <c:pt idx="252">
                  <c:v>12.783333333333333</c:v>
                </c:pt>
                <c:pt idx="253">
                  <c:v>12.733333333333334</c:v>
                </c:pt>
                <c:pt idx="254">
                  <c:v>12.683333333333334</c:v>
                </c:pt>
                <c:pt idx="255">
                  <c:v>12.65</c:v>
                </c:pt>
                <c:pt idx="256">
                  <c:v>12.600000000000001</c:v>
                </c:pt>
                <c:pt idx="257">
                  <c:v>12.55</c:v>
                </c:pt>
                <c:pt idx="258">
                  <c:v>12.483333333333334</c:v>
                </c:pt>
                <c:pt idx="259">
                  <c:v>12.433333333333334</c:v>
                </c:pt>
                <c:pt idx="260">
                  <c:v>12.383333333333335</c:v>
                </c:pt>
                <c:pt idx="261">
                  <c:v>12.350000000000001</c:v>
                </c:pt>
                <c:pt idx="262">
                  <c:v>12.3</c:v>
                </c:pt>
                <c:pt idx="263">
                  <c:v>12.250000000000002</c:v>
                </c:pt>
                <c:pt idx="264">
                  <c:v>12.2</c:v>
                </c:pt>
                <c:pt idx="265">
                  <c:v>12.133333333333333</c:v>
                </c:pt>
                <c:pt idx="266">
                  <c:v>12.083333333333336</c:v>
                </c:pt>
                <c:pt idx="267">
                  <c:v>12.050000000000002</c:v>
                </c:pt>
                <c:pt idx="268">
                  <c:v>12</c:v>
                </c:pt>
                <c:pt idx="269">
                  <c:v>11.95</c:v>
                </c:pt>
                <c:pt idx="270">
                  <c:v>11.899999999999999</c:v>
                </c:pt>
                <c:pt idx="271">
                  <c:v>11.85</c:v>
                </c:pt>
                <c:pt idx="272">
                  <c:v>11.783333333333333</c:v>
                </c:pt>
                <c:pt idx="273">
                  <c:v>11.749999999999998</c:v>
                </c:pt>
                <c:pt idx="274">
                  <c:v>11.7</c:v>
                </c:pt>
                <c:pt idx="275">
                  <c:v>11.649999999999999</c:v>
                </c:pt>
                <c:pt idx="276">
                  <c:v>11.599999999999998</c:v>
                </c:pt>
                <c:pt idx="277">
                  <c:v>11.549999999999999</c:v>
                </c:pt>
                <c:pt idx="278">
                  <c:v>11.5</c:v>
                </c:pt>
                <c:pt idx="279">
                  <c:v>11.45</c:v>
                </c:pt>
                <c:pt idx="280">
                  <c:v>11.399999999999999</c:v>
                </c:pt>
                <c:pt idx="281">
                  <c:v>11.35</c:v>
                </c:pt>
                <c:pt idx="282">
                  <c:v>11.316666666666666</c:v>
                </c:pt>
                <c:pt idx="283">
                  <c:v>11.25</c:v>
                </c:pt>
                <c:pt idx="284">
                  <c:v>11.2</c:v>
                </c:pt>
                <c:pt idx="285">
                  <c:v>11.166666666666668</c:v>
                </c:pt>
                <c:pt idx="286">
                  <c:v>11.116666666666667</c:v>
                </c:pt>
                <c:pt idx="287">
                  <c:v>11.066666666666666</c:v>
                </c:pt>
                <c:pt idx="288">
                  <c:v>11</c:v>
                </c:pt>
                <c:pt idx="289">
                  <c:v>10.966666666666669</c:v>
                </c:pt>
                <c:pt idx="290">
                  <c:v>10.916666666666668</c:v>
                </c:pt>
                <c:pt idx="291">
                  <c:v>10.883333333333335</c:v>
                </c:pt>
                <c:pt idx="292">
                  <c:v>10.816666666666668</c:v>
                </c:pt>
                <c:pt idx="293">
                  <c:v>10.766666666666669</c:v>
                </c:pt>
                <c:pt idx="294">
                  <c:v>10.733333333333334</c:v>
                </c:pt>
                <c:pt idx="295">
                  <c:v>10.683333333333334</c:v>
                </c:pt>
                <c:pt idx="296">
                  <c:v>10.633333333333331</c:v>
                </c:pt>
                <c:pt idx="297">
                  <c:v>10.583333333333332</c:v>
                </c:pt>
                <c:pt idx="298">
                  <c:v>10.549999999999999</c:v>
                </c:pt>
                <c:pt idx="299">
                  <c:v>10.483333333333333</c:v>
                </c:pt>
                <c:pt idx="300">
                  <c:v>10.45</c:v>
                </c:pt>
                <c:pt idx="301">
                  <c:v>10.399999999999999</c:v>
                </c:pt>
                <c:pt idx="302">
                  <c:v>10.366666666666665</c:v>
                </c:pt>
                <c:pt idx="303">
                  <c:v>10.299999999999999</c:v>
                </c:pt>
                <c:pt idx="304">
                  <c:v>10.266666666666666</c:v>
                </c:pt>
                <c:pt idx="305">
                  <c:v>10.233333333333333</c:v>
                </c:pt>
                <c:pt idx="306">
                  <c:v>10.166666666666666</c:v>
                </c:pt>
                <c:pt idx="307">
                  <c:v>10.133333333333333</c:v>
                </c:pt>
                <c:pt idx="308">
                  <c:v>10.1</c:v>
                </c:pt>
                <c:pt idx="309">
                  <c:v>10.050000000000001</c:v>
                </c:pt>
                <c:pt idx="310">
                  <c:v>10</c:v>
                </c:pt>
                <c:pt idx="311">
                  <c:v>9.9666666666666668</c:v>
                </c:pt>
                <c:pt idx="312">
                  <c:v>9.9166666666666679</c:v>
                </c:pt>
                <c:pt idx="313">
                  <c:v>9.8833333333333329</c:v>
                </c:pt>
                <c:pt idx="314">
                  <c:v>9.85</c:v>
                </c:pt>
                <c:pt idx="315">
                  <c:v>9.8000000000000007</c:v>
                </c:pt>
                <c:pt idx="316">
                  <c:v>9.7666666666666657</c:v>
                </c:pt>
                <c:pt idx="317">
                  <c:v>9.7333333333333343</c:v>
                </c:pt>
                <c:pt idx="318">
                  <c:v>9.6999999999999993</c:v>
                </c:pt>
                <c:pt idx="319">
                  <c:v>9.65</c:v>
                </c:pt>
                <c:pt idx="320">
                  <c:v>9.6166666666666671</c:v>
                </c:pt>
                <c:pt idx="321">
                  <c:v>9.5833333333333339</c:v>
                </c:pt>
                <c:pt idx="322">
                  <c:v>9.533333333333335</c:v>
                </c:pt>
                <c:pt idx="323">
                  <c:v>9.5</c:v>
                </c:pt>
                <c:pt idx="324">
                  <c:v>9.4833333333333343</c:v>
                </c:pt>
                <c:pt idx="325">
                  <c:v>9.4500000000000011</c:v>
                </c:pt>
                <c:pt idx="326">
                  <c:v>9.4000000000000021</c:v>
                </c:pt>
                <c:pt idx="327">
                  <c:v>9.3666666666666671</c:v>
                </c:pt>
                <c:pt idx="328">
                  <c:v>9.3500000000000014</c:v>
                </c:pt>
                <c:pt idx="329">
                  <c:v>9.3166666666666682</c:v>
                </c:pt>
                <c:pt idx="330">
                  <c:v>9.3000000000000007</c:v>
                </c:pt>
                <c:pt idx="331">
                  <c:v>9.25</c:v>
                </c:pt>
                <c:pt idx="332">
                  <c:v>9.2333333333333343</c:v>
                </c:pt>
                <c:pt idx="333">
                  <c:v>9.2000000000000011</c:v>
                </c:pt>
                <c:pt idx="334">
                  <c:v>9.1833333333333336</c:v>
                </c:pt>
                <c:pt idx="335">
                  <c:v>9.1666666666666679</c:v>
                </c:pt>
                <c:pt idx="336">
                  <c:v>9.1333333333333346</c:v>
                </c:pt>
                <c:pt idx="337">
                  <c:v>9.1166666666666671</c:v>
                </c:pt>
                <c:pt idx="338">
                  <c:v>9.1000000000000014</c:v>
                </c:pt>
                <c:pt idx="339">
                  <c:v>9.0833333333333339</c:v>
                </c:pt>
                <c:pt idx="340">
                  <c:v>9.0666666666666682</c:v>
                </c:pt>
                <c:pt idx="341">
                  <c:v>9.033333333333335</c:v>
                </c:pt>
                <c:pt idx="342">
                  <c:v>9.0166666666666675</c:v>
                </c:pt>
                <c:pt idx="343">
                  <c:v>9.0000000000000018</c:v>
                </c:pt>
                <c:pt idx="344">
                  <c:v>8.9833333333333343</c:v>
                </c:pt>
                <c:pt idx="345">
                  <c:v>8.9833333333333343</c:v>
                </c:pt>
                <c:pt idx="346">
                  <c:v>8.9666666666666686</c:v>
                </c:pt>
                <c:pt idx="347">
                  <c:v>8.9500000000000011</c:v>
                </c:pt>
                <c:pt idx="348">
                  <c:v>8.9500000000000011</c:v>
                </c:pt>
                <c:pt idx="349">
                  <c:v>8.9333333333333353</c:v>
                </c:pt>
                <c:pt idx="350">
                  <c:v>8.9333333333333353</c:v>
                </c:pt>
                <c:pt idx="351">
                  <c:v>8.9333333333333353</c:v>
                </c:pt>
                <c:pt idx="352">
                  <c:v>8.9166666666666679</c:v>
                </c:pt>
                <c:pt idx="353">
                  <c:v>8.9166666666666679</c:v>
                </c:pt>
                <c:pt idx="354">
                  <c:v>8.9166666666666679</c:v>
                </c:pt>
                <c:pt idx="355">
                  <c:v>8.9166666666666679</c:v>
                </c:pt>
                <c:pt idx="356">
                  <c:v>8.9166666666666679</c:v>
                </c:pt>
                <c:pt idx="357">
                  <c:v>8.9166666666666679</c:v>
                </c:pt>
                <c:pt idx="358">
                  <c:v>8.9166666666666679</c:v>
                </c:pt>
                <c:pt idx="359">
                  <c:v>8.9333333333333336</c:v>
                </c:pt>
                <c:pt idx="360">
                  <c:v>8.9333333333333336</c:v>
                </c:pt>
                <c:pt idx="361">
                  <c:v>8.9333333333333336</c:v>
                </c:pt>
                <c:pt idx="362">
                  <c:v>8.9499999999999993</c:v>
                </c:pt>
                <c:pt idx="363">
                  <c:v>8.9666666666666668</c:v>
                </c:pt>
                <c:pt idx="364">
                  <c:v>8.9666666666666668</c:v>
                </c:pt>
                <c:pt idx="365">
                  <c:v>8.9833333333333343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7B-45B1-9F11-2BB24E81C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420736"/>
        <c:axId val="720896624"/>
      </c:scatterChart>
      <c:valAx>
        <c:axId val="750420736"/>
        <c:scaling>
          <c:orientation val="minMax"/>
          <c:max val="41000"/>
          <c:min val="4096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896624"/>
        <c:crosses val="autoZero"/>
        <c:crossBetween val="midCat"/>
      </c:valAx>
      <c:valAx>
        <c:axId val="720896624"/>
        <c:scaling>
          <c:orientation val="minMax"/>
          <c:max val="14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Daylength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42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daylength!$F$82:$F$91</c:f>
              <c:numCache>
                <c:formatCode>General</c:formatCode>
                <c:ptCount val="10"/>
                <c:pt idx="0">
                  <c:v>1801</c:v>
                </c:pt>
                <c:pt idx="1">
                  <c:v>1802</c:v>
                </c:pt>
                <c:pt idx="2">
                  <c:v>1803</c:v>
                </c:pt>
                <c:pt idx="3">
                  <c:v>1805</c:v>
                </c:pt>
                <c:pt idx="4">
                  <c:v>1806</c:v>
                </c:pt>
                <c:pt idx="5">
                  <c:v>1807</c:v>
                </c:pt>
                <c:pt idx="6">
                  <c:v>1808</c:v>
                </c:pt>
                <c:pt idx="7">
                  <c:v>1809</c:v>
                </c:pt>
                <c:pt idx="8">
                  <c:v>1811</c:v>
                </c:pt>
                <c:pt idx="9">
                  <c:v>1812</c:v>
                </c:pt>
              </c:numCache>
            </c:numRef>
          </c:xVal>
          <c:yVal>
            <c:numRef>
              <c:f>daylength!#REF!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34-4F9D-99F5-B5A6FC607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33008"/>
        <c:axId val="636113183"/>
      </c:scatterChart>
      <c:valAx>
        <c:axId val="14473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113183"/>
        <c:crosses val="autoZero"/>
        <c:crossBetween val="midCat"/>
      </c:valAx>
      <c:valAx>
        <c:axId val="63611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3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158750</xdr:colOff>
      <xdr:row>3</xdr:row>
      <xdr:rowOff>152400</xdr:rowOff>
    </xdr:from>
    <xdr:to>
      <xdr:col>20</xdr:col>
      <xdr:colOff>12700</xdr:colOff>
      <xdr:row>9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000500" y="628650"/>
          <a:ext cx="299720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 that this is for -4 h from GMT with no daylight savings time.  Local time is -5 GMT </a:t>
          </a:r>
          <a:r>
            <a:rPr lang="en-US" sz="1100" baseline="0"/>
            <a:t> (one hour later) </a:t>
          </a:r>
          <a:r>
            <a:rPr lang="en-US" sz="1100"/>
            <a:t> during daylight savings time.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5</xdr:row>
      <xdr:rowOff>19050</xdr:rowOff>
    </xdr:from>
    <xdr:to>
      <xdr:col>9</xdr:col>
      <xdr:colOff>565150</xdr:colOff>
      <xdr:row>9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911600" y="812800"/>
          <a:ext cx="5397500" cy="70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Includes various equations to calculate the local time at specified</a:t>
          </a:r>
          <a:r>
            <a:rPr lang="en-US" sz="1100" baseline="0"/>
            <a:t> minutes after sunrise on each day of year. 'target.min' becomes 'startSnip.mm' in Snips-to-extract.mpa.xlsx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27516</xdr:rowOff>
    </xdr:from>
    <xdr:to>
      <xdr:col>21</xdr:col>
      <xdr:colOff>427566</xdr:colOff>
      <xdr:row>20</xdr:row>
      <xdr:rowOff>35983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DA9659-F803-84D7-C871-1862A9AF8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237066</xdr:colOff>
      <xdr:row>82</xdr:row>
      <xdr:rowOff>127000</xdr:rowOff>
    </xdr:from>
    <xdr:to>
      <xdr:col>18</xdr:col>
      <xdr:colOff>334433</xdr:colOff>
      <xdr:row>87</xdr:row>
      <xdr:rowOff>50800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A11853F-617F-00B3-85ED-0F69F108DFF8}"/>
            </a:ext>
          </a:extLst>
        </xdr:cNvPr>
        <xdr:cNvSpPr txBox="1"/>
      </xdr:nvSpPr>
      <xdr:spPr>
        <a:xfrm>
          <a:off x="6316133" y="13318067"/>
          <a:ext cx="2027767" cy="728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At</a:t>
          </a:r>
          <a:r>
            <a:rPr lang="en-US" sz="1100" baseline="0"/>
            <a:t> HB, daylength changes by about 27 minutes from 21 March to 30 March.</a:t>
          </a:r>
          <a:endParaRPr lang="en-US" sz="1100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30</xdr:col>
      <xdr:colOff>116417</xdr:colOff>
      <xdr:row>20</xdr:row>
      <xdr:rowOff>8467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A4C054-2788-43A4-9333-6B4026BD2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343513</xdr:colOff>
      <xdr:row>85</xdr:row>
      <xdr:rowOff>77982</xdr:rowOff>
    </xdr:from>
    <xdr:to>
      <xdr:col>18</xdr:col>
      <xdr:colOff>139254</xdr:colOff>
      <xdr:row>98</xdr:row>
      <xdr:rowOff>103382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0F1863-F135-ADF7-9DBB-E6C94AE8A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workbookViewId="0">
      <selection activeCell="X4" sqref="X4"/>
    </sheetView>
  </sheetViews>
  <sheetFormatPr defaultRowHeight="12.75"/>
  <cols>
    <col min="1" max="1" width="5" customWidth="1"/>
    <col min="2" max="25" width="5" style="2" customWidth="1"/>
  </cols>
  <sheetData>
    <row r="1" spans="1:25">
      <c r="A1" s="4" t="s">
        <v>9</v>
      </c>
    </row>
    <row r="2" spans="1:25">
      <c r="A2" s="4" t="s">
        <v>10</v>
      </c>
    </row>
    <row r="3" spans="1:25">
      <c r="A3" s="4" t="s">
        <v>0</v>
      </c>
    </row>
    <row r="4" spans="1:25">
      <c r="A4" s="4" t="s">
        <v>5</v>
      </c>
    </row>
    <row r="5" spans="1:25">
      <c r="A5" s="4" t="s">
        <v>1</v>
      </c>
    </row>
    <row r="6" spans="1:25">
      <c r="A6" s="4" t="s">
        <v>1</v>
      </c>
    </row>
    <row r="7" spans="1:25" ht="13.5">
      <c r="A7" s="1" t="s">
        <v>2</v>
      </c>
    </row>
    <row r="8" spans="1:25">
      <c r="A8" t="s">
        <v>6</v>
      </c>
      <c r="B8" s="2" t="s">
        <v>7</v>
      </c>
      <c r="C8" s="2" t="s">
        <v>8</v>
      </c>
      <c r="D8" s="2" t="s">
        <v>7</v>
      </c>
      <c r="E8" s="2" t="s">
        <v>8</v>
      </c>
      <c r="F8" s="2" t="s">
        <v>7</v>
      </c>
      <c r="G8" s="2" t="s">
        <v>8</v>
      </c>
      <c r="H8" s="2" t="s">
        <v>7</v>
      </c>
      <c r="I8" s="2" t="s">
        <v>8</v>
      </c>
      <c r="J8" s="2" t="s">
        <v>7</v>
      </c>
      <c r="K8" s="2" t="s">
        <v>8</v>
      </c>
      <c r="L8" s="2" t="s">
        <v>7</v>
      </c>
      <c r="M8" s="2" t="s">
        <v>8</v>
      </c>
      <c r="N8" s="2" t="s">
        <v>7</v>
      </c>
      <c r="O8" s="2" t="s">
        <v>8</v>
      </c>
      <c r="P8" s="2" t="s">
        <v>7</v>
      </c>
      <c r="Q8" s="2" t="s">
        <v>8</v>
      </c>
      <c r="R8" s="2" t="s">
        <v>7</v>
      </c>
      <c r="S8" s="2" t="s">
        <v>8</v>
      </c>
      <c r="T8" s="2" t="s">
        <v>7</v>
      </c>
      <c r="U8" s="2" t="s">
        <v>8</v>
      </c>
      <c r="V8" s="2" t="s">
        <v>7</v>
      </c>
      <c r="W8" s="2" t="s">
        <v>8</v>
      </c>
      <c r="X8" s="2" t="s">
        <v>7</v>
      </c>
      <c r="Y8" s="2" t="s">
        <v>8</v>
      </c>
    </row>
    <row r="9" spans="1:25" ht="13.5">
      <c r="A9" s="1"/>
    </row>
    <row r="10" spans="1:25">
      <c r="A10" s="4">
        <v>1</v>
      </c>
      <c r="B10" s="2">
        <v>721</v>
      </c>
      <c r="C10" s="2">
        <v>1620</v>
      </c>
      <c r="D10" s="2">
        <v>704</v>
      </c>
      <c r="E10" s="2">
        <v>1657</v>
      </c>
      <c r="F10" s="2">
        <v>623</v>
      </c>
      <c r="G10" s="2">
        <v>1736</v>
      </c>
      <c r="H10" s="2">
        <v>528</v>
      </c>
      <c r="I10" s="2">
        <v>1814</v>
      </c>
      <c r="J10" s="2">
        <v>438</v>
      </c>
      <c r="K10" s="2">
        <v>1850</v>
      </c>
      <c r="L10" s="2">
        <v>408</v>
      </c>
      <c r="M10" s="2">
        <v>1922</v>
      </c>
      <c r="N10" s="2">
        <v>409</v>
      </c>
      <c r="O10" s="2">
        <v>1932</v>
      </c>
      <c r="P10" s="2">
        <v>436</v>
      </c>
      <c r="Q10" s="2">
        <v>1909</v>
      </c>
      <c r="R10" s="2">
        <v>511</v>
      </c>
      <c r="S10" s="2">
        <v>1821</v>
      </c>
      <c r="T10" s="2">
        <v>545</v>
      </c>
      <c r="U10" s="2">
        <v>1727</v>
      </c>
      <c r="V10" s="2">
        <v>623</v>
      </c>
      <c r="W10" s="2">
        <v>1637</v>
      </c>
      <c r="X10" s="2">
        <v>701</v>
      </c>
      <c r="Y10" s="2">
        <v>1611</v>
      </c>
    </row>
    <row r="11" spans="1:25">
      <c r="A11" s="4">
        <v>2</v>
      </c>
      <c r="B11" s="2">
        <v>721</v>
      </c>
      <c r="C11" s="2">
        <v>1621</v>
      </c>
      <c r="D11" s="2">
        <v>703</v>
      </c>
      <c r="E11" s="2">
        <v>1658</v>
      </c>
      <c r="F11" s="2">
        <v>621</v>
      </c>
      <c r="G11" s="2">
        <v>1737</v>
      </c>
      <c r="H11" s="2">
        <v>526</v>
      </c>
      <c r="I11" s="2">
        <v>1815</v>
      </c>
      <c r="J11" s="2">
        <v>437</v>
      </c>
      <c r="K11" s="2">
        <v>1851</v>
      </c>
      <c r="L11" s="2">
        <v>407</v>
      </c>
      <c r="M11" s="2">
        <v>1923</v>
      </c>
      <c r="N11" s="2">
        <v>410</v>
      </c>
      <c r="O11" s="2">
        <v>1932</v>
      </c>
      <c r="P11" s="2">
        <v>437</v>
      </c>
      <c r="Q11" s="2">
        <v>1908</v>
      </c>
      <c r="R11" s="2">
        <v>512</v>
      </c>
      <c r="S11" s="2">
        <v>1820</v>
      </c>
      <c r="T11" s="2">
        <v>546</v>
      </c>
      <c r="U11" s="2">
        <v>1725</v>
      </c>
      <c r="V11" s="2">
        <v>625</v>
      </c>
      <c r="W11" s="2">
        <v>1635</v>
      </c>
      <c r="X11" s="2">
        <v>702</v>
      </c>
      <c r="Y11" s="2">
        <v>1610</v>
      </c>
    </row>
    <row r="12" spans="1:25">
      <c r="A12" s="4">
        <v>3</v>
      </c>
      <c r="B12" s="2">
        <v>721</v>
      </c>
      <c r="C12" s="2">
        <v>1622</v>
      </c>
      <c r="D12" s="2">
        <v>702</v>
      </c>
      <c r="E12" s="2">
        <v>1700</v>
      </c>
      <c r="F12" s="2">
        <v>619</v>
      </c>
      <c r="G12" s="2">
        <v>1739</v>
      </c>
      <c r="H12" s="2">
        <v>524</v>
      </c>
      <c r="I12" s="2">
        <v>1817</v>
      </c>
      <c r="J12" s="2">
        <v>436</v>
      </c>
      <c r="K12" s="2">
        <v>1852</v>
      </c>
      <c r="L12" s="2">
        <v>407</v>
      </c>
      <c r="M12" s="2">
        <v>1924</v>
      </c>
      <c r="N12" s="2">
        <v>410</v>
      </c>
      <c r="O12" s="2">
        <v>1932</v>
      </c>
      <c r="P12" s="2">
        <v>438</v>
      </c>
      <c r="Q12" s="2">
        <v>1907</v>
      </c>
      <c r="R12" s="2">
        <v>513</v>
      </c>
      <c r="S12" s="2">
        <v>1818</v>
      </c>
      <c r="T12" s="2">
        <v>547</v>
      </c>
      <c r="U12" s="2">
        <v>1723</v>
      </c>
      <c r="V12" s="2">
        <v>626</v>
      </c>
      <c r="W12" s="2">
        <v>1634</v>
      </c>
      <c r="X12" s="2">
        <v>703</v>
      </c>
      <c r="Y12" s="2">
        <v>1610</v>
      </c>
    </row>
    <row r="13" spans="1:25">
      <c r="A13" s="4">
        <v>4</v>
      </c>
      <c r="B13" s="2">
        <v>721</v>
      </c>
      <c r="C13" s="2">
        <v>1623</v>
      </c>
      <c r="D13" s="2">
        <v>701</v>
      </c>
      <c r="E13" s="2">
        <v>1701</v>
      </c>
      <c r="F13" s="2">
        <v>618</v>
      </c>
      <c r="G13" s="2">
        <v>1740</v>
      </c>
      <c r="H13" s="2">
        <v>522</v>
      </c>
      <c r="I13" s="2">
        <v>1818</v>
      </c>
      <c r="J13" s="2">
        <v>434</v>
      </c>
      <c r="K13" s="2">
        <v>1854</v>
      </c>
      <c r="L13" s="2">
        <v>406</v>
      </c>
      <c r="M13" s="2">
        <v>1924</v>
      </c>
      <c r="N13" s="2">
        <v>411</v>
      </c>
      <c r="O13" s="2">
        <v>1932</v>
      </c>
      <c r="P13" s="2">
        <v>439</v>
      </c>
      <c r="Q13" s="2">
        <v>1905</v>
      </c>
      <c r="R13" s="2">
        <v>514</v>
      </c>
      <c r="S13" s="2">
        <v>1816</v>
      </c>
      <c r="T13" s="2">
        <v>548</v>
      </c>
      <c r="U13" s="2">
        <v>1721</v>
      </c>
      <c r="V13" s="2">
        <v>627</v>
      </c>
      <c r="W13" s="2">
        <v>1633</v>
      </c>
      <c r="X13" s="2">
        <v>704</v>
      </c>
      <c r="Y13" s="2">
        <v>1610</v>
      </c>
    </row>
    <row r="14" spans="1:25">
      <c r="A14" s="4">
        <v>5</v>
      </c>
      <c r="B14" s="2">
        <v>721</v>
      </c>
      <c r="C14" s="2">
        <v>1624</v>
      </c>
      <c r="D14" s="2">
        <v>700</v>
      </c>
      <c r="E14" s="2">
        <v>1702</v>
      </c>
      <c r="F14" s="2">
        <v>616</v>
      </c>
      <c r="G14" s="2">
        <v>1741</v>
      </c>
      <c r="H14" s="2">
        <v>520</v>
      </c>
      <c r="I14" s="2">
        <v>1819</v>
      </c>
      <c r="J14" s="2">
        <v>433</v>
      </c>
      <c r="K14" s="2">
        <v>1855</v>
      </c>
      <c r="L14" s="2">
        <v>406</v>
      </c>
      <c r="M14" s="2">
        <v>1925</v>
      </c>
      <c r="N14" s="2">
        <v>411</v>
      </c>
      <c r="O14" s="2">
        <v>1931</v>
      </c>
      <c r="P14" s="2">
        <v>440</v>
      </c>
      <c r="Q14" s="2">
        <v>1904</v>
      </c>
      <c r="R14" s="2">
        <v>515</v>
      </c>
      <c r="S14" s="2">
        <v>1814</v>
      </c>
      <c r="T14" s="2">
        <v>550</v>
      </c>
      <c r="U14" s="2">
        <v>1720</v>
      </c>
      <c r="V14" s="2">
        <v>629</v>
      </c>
      <c r="W14" s="2">
        <v>1632</v>
      </c>
      <c r="X14" s="2">
        <v>705</v>
      </c>
      <c r="Y14" s="2">
        <v>1610</v>
      </c>
    </row>
    <row r="15" spans="1:25">
      <c r="A15" s="4">
        <v>6</v>
      </c>
      <c r="B15" s="2">
        <v>721</v>
      </c>
      <c r="C15" s="2">
        <v>1625</v>
      </c>
      <c r="D15" s="2">
        <v>658</v>
      </c>
      <c r="E15" s="2">
        <v>1704</v>
      </c>
      <c r="F15" s="2">
        <v>614</v>
      </c>
      <c r="G15" s="2">
        <v>1742</v>
      </c>
      <c r="H15" s="2">
        <v>519</v>
      </c>
      <c r="I15" s="2">
        <v>1820</v>
      </c>
      <c r="J15" s="2">
        <v>432</v>
      </c>
      <c r="K15" s="2">
        <v>1856</v>
      </c>
      <c r="L15" s="2">
        <v>406</v>
      </c>
      <c r="M15" s="2">
        <v>1926</v>
      </c>
      <c r="N15" s="2">
        <v>412</v>
      </c>
      <c r="O15" s="2">
        <v>1931</v>
      </c>
      <c r="P15" s="2">
        <v>442</v>
      </c>
      <c r="Q15" s="2">
        <v>1903</v>
      </c>
      <c r="R15" s="2">
        <v>516</v>
      </c>
      <c r="S15" s="2">
        <v>1813</v>
      </c>
      <c r="T15" s="2">
        <v>551</v>
      </c>
      <c r="U15" s="2">
        <v>1718</v>
      </c>
      <c r="V15" s="2">
        <v>630</v>
      </c>
      <c r="W15" s="2">
        <v>1630</v>
      </c>
      <c r="X15" s="2">
        <v>706</v>
      </c>
      <c r="Y15" s="2">
        <v>1610</v>
      </c>
    </row>
    <row r="16" spans="1:25">
      <c r="A16" s="4">
        <v>7</v>
      </c>
      <c r="B16" s="2">
        <v>720</v>
      </c>
      <c r="C16" s="2">
        <v>1626</v>
      </c>
      <c r="D16" s="2">
        <v>657</v>
      </c>
      <c r="E16" s="2">
        <v>1705</v>
      </c>
      <c r="F16" s="2">
        <v>612</v>
      </c>
      <c r="G16" s="2">
        <v>1744</v>
      </c>
      <c r="H16" s="2">
        <v>517</v>
      </c>
      <c r="I16" s="2">
        <v>1821</v>
      </c>
      <c r="J16" s="2">
        <v>430</v>
      </c>
      <c r="K16" s="2">
        <v>1857</v>
      </c>
      <c r="L16" s="2">
        <v>405</v>
      </c>
      <c r="M16" s="2">
        <v>1927</v>
      </c>
      <c r="N16" s="2">
        <v>413</v>
      </c>
      <c r="O16" s="2">
        <v>1930</v>
      </c>
      <c r="P16" s="2">
        <v>443</v>
      </c>
      <c r="Q16" s="2">
        <v>1901</v>
      </c>
      <c r="R16" s="2">
        <v>518</v>
      </c>
      <c r="S16" s="2">
        <v>1811</v>
      </c>
      <c r="T16" s="2">
        <v>552</v>
      </c>
      <c r="U16" s="2">
        <v>1716</v>
      </c>
      <c r="V16" s="2">
        <v>631</v>
      </c>
      <c r="W16" s="2">
        <v>1629</v>
      </c>
      <c r="X16" s="2">
        <v>707</v>
      </c>
      <c r="Y16" s="2">
        <v>1609</v>
      </c>
    </row>
    <row r="17" spans="1:25">
      <c r="A17" s="4">
        <v>8</v>
      </c>
      <c r="B17" s="2">
        <v>720</v>
      </c>
      <c r="C17" s="2">
        <v>1627</v>
      </c>
      <c r="D17" s="2">
        <v>656</v>
      </c>
      <c r="E17" s="2">
        <v>1707</v>
      </c>
      <c r="F17" s="2">
        <v>611</v>
      </c>
      <c r="G17" s="2">
        <v>1745</v>
      </c>
      <c r="H17" s="2">
        <v>515</v>
      </c>
      <c r="I17" s="2">
        <v>1823</v>
      </c>
      <c r="J17" s="2">
        <v>429</v>
      </c>
      <c r="K17" s="2">
        <v>1858</v>
      </c>
      <c r="L17" s="2">
        <v>405</v>
      </c>
      <c r="M17" s="2">
        <v>1927</v>
      </c>
      <c r="N17" s="2">
        <v>413</v>
      </c>
      <c r="O17" s="2">
        <v>1930</v>
      </c>
      <c r="P17" s="2">
        <v>444</v>
      </c>
      <c r="Q17" s="2">
        <v>1900</v>
      </c>
      <c r="R17" s="2">
        <v>519</v>
      </c>
      <c r="S17" s="2">
        <v>1809</v>
      </c>
      <c r="T17" s="2">
        <v>553</v>
      </c>
      <c r="U17" s="2">
        <v>1714</v>
      </c>
      <c r="V17" s="2">
        <v>633</v>
      </c>
      <c r="W17" s="2">
        <v>1628</v>
      </c>
      <c r="X17" s="2">
        <v>708</v>
      </c>
      <c r="Y17" s="2">
        <v>1609</v>
      </c>
    </row>
    <row r="18" spans="1:25">
      <c r="A18" s="4">
        <v>9</v>
      </c>
      <c r="B18" s="2">
        <v>720</v>
      </c>
      <c r="C18" s="2">
        <v>1628</v>
      </c>
      <c r="D18" s="2">
        <v>655</v>
      </c>
      <c r="E18" s="2">
        <v>1708</v>
      </c>
      <c r="F18" s="2">
        <v>609</v>
      </c>
      <c r="G18" s="2">
        <v>1746</v>
      </c>
      <c r="H18" s="2">
        <v>513</v>
      </c>
      <c r="I18" s="2">
        <v>1824</v>
      </c>
      <c r="J18" s="2">
        <v>428</v>
      </c>
      <c r="K18" s="2">
        <v>1859</v>
      </c>
      <c r="L18" s="2">
        <v>405</v>
      </c>
      <c r="M18" s="2">
        <v>1928</v>
      </c>
      <c r="N18" s="2">
        <v>414</v>
      </c>
      <c r="O18" s="2">
        <v>1930</v>
      </c>
      <c r="P18" s="2">
        <v>445</v>
      </c>
      <c r="Q18" s="2">
        <v>1859</v>
      </c>
      <c r="R18" s="2">
        <v>520</v>
      </c>
      <c r="S18" s="2">
        <v>1807</v>
      </c>
      <c r="T18" s="2">
        <v>554</v>
      </c>
      <c r="U18" s="2">
        <v>1713</v>
      </c>
      <c r="V18" s="2">
        <v>634</v>
      </c>
      <c r="W18" s="2">
        <v>1627</v>
      </c>
      <c r="X18" s="2">
        <v>709</v>
      </c>
      <c r="Y18" s="2">
        <v>1609</v>
      </c>
    </row>
    <row r="19" spans="1:25">
      <c r="A19" s="4">
        <v>10</v>
      </c>
      <c r="B19" s="2">
        <v>720</v>
      </c>
      <c r="C19" s="2">
        <v>1629</v>
      </c>
      <c r="D19" s="2">
        <v>653</v>
      </c>
      <c r="E19" s="2">
        <v>1709</v>
      </c>
      <c r="F19" s="2">
        <v>607</v>
      </c>
      <c r="G19" s="2">
        <v>1747</v>
      </c>
      <c r="H19" s="2">
        <v>512</v>
      </c>
      <c r="I19" s="2">
        <v>1825</v>
      </c>
      <c r="J19" s="2">
        <v>427</v>
      </c>
      <c r="K19" s="2">
        <v>1900</v>
      </c>
      <c r="L19" s="2">
        <v>405</v>
      </c>
      <c r="M19" s="2">
        <v>1928</v>
      </c>
      <c r="N19" s="2">
        <v>415</v>
      </c>
      <c r="O19" s="2">
        <v>1929</v>
      </c>
      <c r="P19" s="2">
        <v>446</v>
      </c>
      <c r="Q19" s="2">
        <v>1857</v>
      </c>
      <c r="R19" s="2">
        <v>521</v>
      </c>
      <c r="S19" s="2">
        <v>1805</v>
      </c>
      <c r="T19" s="2">
        <v>556</v>
      </c>
      <c r="U19" s="2">
        <v>1711</v>
      </c>
      <c r="V19" s="2">
        <v>635</v>
      </c>
      <c r="W19" s="2">
        <v>1626</v>
      </c>
      <c r="X19" s="2">
        <v>710</v>
      </c>
      <c r="Y19" s="2">
        <v>1609</v>
      </c>
    </row>
    <row r="20" spans="1:25">
      <c r="A20" s="4">
        <v>11</v>
      </c>
      <c r="B20" s="2">
        <v>719</v>
      </c>
      <c r="C20" s="2">
        <v>1630</v>
      </c>
      <c r="D20" s="2">
        <v>652</v>
      </c>
      <c r="E20" s="2">
        <v>1711</v>
      </c>
      <c r="F20" s="2">
        <v>605</v>
      </c>
      <c r="G20" s="2">
        <v>1749</v>
      </c>
      <c r="H20" s="2">
        <v>510</v>
      </c>
      <c r="I20" s="2">
        <v>1826</v>
      </c>
      <c r="J20" s="2">
        <v>425</v>
      </c>
      <c r="K20" s="2">
        <v>1902</v>
      </c>
      <c r="L20" s="2">
        <v>404</v>
      </c>
      <c r="M20" s="2">
        <v>1929</v>
      </c>
      <c r="N20" s="2">
        <v>416</v>
      </c>
      <c r="O20" s="2">
        <v>1929</v>
      </c>
      <c r="P20" s="2">
        <v>447</v>
      </c>
      <c r="Q20" s="2">
        <v>1856</v>
      </c>
      <c r="R20" s="2">
        <v>522</v>
      </c>
      <c r="S20" s="2">
        <v>1803</v>
      </c>
      <c r="T20" s="2">
        <v>557</v>
      </c>
      <c r="U20" s="2">
        <v>1709</v>
      </c>
      <c r="V20" s="2">
        <v>637</v>
      </c>
      <c r="W20" s="2">
        <v>1625</v>
      </c>
      <c r="X20" s="2">
        <v>711</v>
      </c>
      <c r="Y20" s="2">
        <v>1610</v>
      </c>
    </row>
    <row r="21" spans="1:25">
      <c r="A21" s="4">
        <v>12</v>
      </c>
      <c r="B21" s="2">
        <v>719</v>
      </c>
      <c r="C21" s="2">
        <v>1631</v>
      </c>
      <c r="D21" s="2">
        <v>651</v>
      </c>
      <c r="E21" s="2">
        <v>1712</v>
      </c>
      <c r="F21" s="2">
        <v>604</v>
      </c>
      <c r="G21" s="2">
        <v>1750</v>
      </c>
      <c r="H21" s="2">
        <v>508</v>
      </c>
      <c r="I21" s="2">
        <v>1827</v>
      </c>
      <c r="J21" s="2">
        <v>424</v>
      </c>
      <c r="K21" s="2">
        <v>1903</v>
      </c>
      <c r="L21" s="2">
        <v>404</v>
      </c>
      <c r="M21" s="2">
        <v>1929</v>
      </c>
      <c r="N21" s="2">
        <v>417</v>
      </c>
      <c r="O21" s="2">
        <v>1928</v>
      </c>
      <c r="P21" s="2">
        <v>448</v>
      </c>
      <c r="Q21" s="2">
        <v>1854</v>
      </c>
      <c r="R21" s="2">
        <v>523</v>
      </c>
      <c r="S21" s="2">
        <v>1802</v>
      </c>
      <c r="T21" s="2">
        <v>558</v>
      </c>
      <c r="U21" s="2">
        <v>1708</v>
      </c>
      <c r="V21" s="2">
        <v>638</v>
      </c>
      <c r="W21" s="2">
        <v>1624</v>
      </c>
      <c r="X21" s="2">
        <v>712</v>
      </c>
      <c r="Y21" s="2">
        <v>1610</v>
      </c>
    </row>
    <row r="22" spans="1:25">
      <c r="A22" s="4">
        <v>13</v>
      </c>
      <c r="B22" s="2">
        <v>719</v>
      </c>
      <c r="C22" s="2">
        <v>1632</v>
      </c>
      <c r="D22" s="2">
        <v>649</v>
      </c>
      <c r="E22" s="2">
        <v>1713</v>
      </c>
      <c r="F22" s="2">
        <v>602</v>
      </c>
      <c r="G22" s="2">
        <v>1751</v>
      </c>
      <c r="H22" s="2">
        <v>507</v>
      </c>
      <c r="I22" s="2">
        <v>1829</v>
      </c>
      <c r="J22" s="2">
        <v>423</v>
      </c>
      <c r="K22" s="2">
        <v>1904</v>
      </c>
      <c r="L22" s="2">
        <v>404</v>
      </c>
      <c r="M22" s="2">
        <v>1930</v>
      </c>
      <c r="N22" s="2">
        <v>417</v>
      </c>
      <c r="O22" s="2">
        <v>1927</v>
      </c>
      <c r="P22" s="2">
        <v>449</v>
      </c>
      <c r="Q22" s="2">
        <v>1853</v>
      </c>
      <c r="R22" s="2">
        <v>524</v>
      </c>
      <c r="S22" s="2">
        <v>1800</v>
      </c>
      <c r="T22" s="2">
        <v>559</v>
      </c>
      <c r="U22" s="2">
        <v>1706</v>
      </c>
      <c r="V22" s="2">
        <v>639</v>
      </c>
      <c r="W22" s="2">
        <v>1623</v>
      </c>
      <c r="X22" s="2">
        <v>713</v>
      </c>
      <c r="Y22" s="2">
        <v>1610</v>
      </c>
    </row>
    <row r="23" spans="1:25">
      <c r="A23" s="4">
        <v>14</v>
      </c>
      <c r="B23" s="2">
        <v>718</v>
      </c>
      <c r="C23" s="2">
        <v>1633</v>
      </c>
      <c r="D23" s="2">
        <v>648</v>
      </c>
      <c r="E23" s="2">
        <v>1715</v>
      </c>
      <c r="F23" s="2">
        <v>600</v>
      </c>
      <c r="G23" s="2">
        <v>1752</v>
      </c>
      <c r="H23" s="2">
        <v>505</v>
      </c>
      <c r="I23" s="2">
        <v>1830</v>
      </c>
      <c r="J23" s="2">
        <v>422</v>
      </c>
      <c r="K23" s="2">
        <v>1905</v>
      </c>
      <c r="L23" s="2">
        <v>404</v>
      </c>
      <c r="M23" s="2">
        <v>1930</v>
      </c>
      <c r="N23" s="2">
        <v>418</v>
      </c>
      <c r="O23" s="2">
        <v>1927</v>
      </c>
      <c r="P23" s="2">
        <v>451</v>
      </c>
      <c r="Q23" s="2">
        <v>1851</v>
      </c>
      <c r="R23" s="2">
        <v>525</v>
      </c>
      <c r="S23" s="2">
        <v>1758</v>
      </c>
      <c r="T23" s="2">
        <v>600</v>
      </c>
      <c r="U23" s="2">
        <v>1704</v>
      </c>
      <c r="V23" s="2">
        <v>640</v>
      </c>
      <c r="W23" s="2">
        <v>1622</v>
      </c>
      <c r="X23" s="2">
        <v>713</v>
      </c>
      <c r="Y23" s="2">
        <v>1610</v>
      </c>
    </row>
    <row r="24" spans="1:25">
      <c r="A24" s="4">
        <v>15</v>
      </c>
      <c r="B24" s="2">
        <v>718</v>
      </c>
      <c r="C24" s="2">
        <v>1635</v>
      </c>
      <c r="D24" s="2">
        <v>646</v>
      </c>
      <c r="E24" s="2">
        <v>1716</v>
      </c>
      <c r="F24" s="2">
        <v>558</v>
      </c>
      <c r="G24" s="2">
        <v>1754</v>
      </c>
      <c r="H24" s="2">
        <v>503</v>
      </c>
      <c r="I24" s="2">
        <v>1831</v>
      </c>
      <c r="J24" s="2">
        <v>421</v>
      </c>
      <c r="K24" s="2">
        <v>1906</v>
      </c>
      <c r="L24" s="2">
        <v>404</v>
      </c>
      <c r="M24" s="2">
        <v>1931</v>
      </c>
      <c r="N24" s="2">
        <v>419</v>
      </c>
      <c r="O24" s="2">
        <v>1926</v>
      </c>
      <c r="P24" s="2">
        <v>452</v>
      </c>
      <c r="Q24" s="2">
        <v>1850</v>
      </c>
      <c r="R24" s="2">
        <v>527</v>
      </c>
      <c r="S24" s="2">
        <v>1756</v>
      </c>
      <c r="T24" s="2">
        <v>602</v>
      </c>
      <c r="U24" s="2">
        <v>1702</v>
      </c>
      <c r="V24" s="2">
        <v>642</v>
      </c>
      <c r="W24" s="2">
        <v>1621</v>
      </c>
      <c r="X24" s="2">
        <v>714</v>
      </c>
      <c r="Y24" s="2">
        <v>1610</v>
      </c>
    </row>
    <row r="25" spans="1:25">
      <c r="A25" s="4">
        <v>16</v>
      </c>
      <c r="B25" s="2">
        <v>717</v>
      </c>
      <c r="C25" s="2">
        <v>1636</v>
      </c>
      <c r="D25" s="2">
        <v>645</v>
      </c>
      <c r="E25" s="2">
        <v>1717</v>
      </c>
      <c r="F25" s="2">
        <v>556</v>
      </c>
      <c r="G25" s="2">
        <v>1755</v>
      </c>
      <c r="H25" s="2">
        <v>501</v>
      </c>
      <c r="I25" s="2">
        <v>1832</v>
      </c>
      <c r="J25" s="2">
        <v>420</v>
      </c>
      <c r="K25" s="2">
        <v>1907</v>
      </c>
      <c r="L25" s="2">
        <v>404</v>
      </c>
      <c r="M25" s="2">
        <v>1931</v>
      </c>
      <c r="N25" s="2">
        <v>420</v>
      </c>
      <c r="O25" s="2">
        <v>1925</v>
      </c>
      <c r="P25" s="2">
        <v>453</v>
      </c>
      <c r="Q25" s="2">
        <v>1848</v>
      </c>
      <c r="R25" s="2">
        <v>528</v>
      </c>
      <c r="S25" s="2">
        <v>1754</v>
      </c>
      <c r="T25" s="2">
        <v>603</v>
      </c>
      <c r="U25" s="2">
        <v>1701</v>
      </c>
      <c r="V25" s="2">
        <v>643</v>
      </c>
      <c r="W25" s="2">
        <v>1620</v>
      </c>
      <c r="X25" s="2">
        <v>715</v>
      </c>
      <c r="Y25" s="2">
        <v>1611</v>
      </c>
    </row>
    <row r="26" spans="1:25">
      <c r="A26" s="4">
        <v>17</v>
      </c>
      <c r="B26" s="2">
        <v>717</v>
      </c>
      <c r="C26" s="2">
        <v>1637</v>
      </c>
      <c r="D26" s="2">
        <v>643</v>
      </c>
      <c r="E26" s="2">
        <v>1719</v>
      </c>
      <c r="F26" s="2">
        <v>555</v>
      </c>
      <c r="G26" s="2">
        <v>1756</v>
      </c>
      <c r="H26" s="2">
        <v>500</v>
      </c>
      <c r="I26" s="2">
        <v>1833</v>
      </c>
      <c r="J26" s="2">
        <v>419</v>
      </c>
      <c r="K26" s="2">
        <v>1908</v>
      </c>
      <c r="L26" s="2">
        <v>404</v>
      </c>
      <c r="M26" s="2">
        <v>1931</v>
      </c>
      <c r="N26" s="2">
        <v>421</v>
      </c>
      <c r="O26" s="2">
        <v>1924</v>
      </c>
      <c r="P26" s="2">
        <v>454</v>
      </c>
      <c r="Q26" s="2">
        <v>1847</v>
      </c>
      <c r="R26" s="2">
        <v>529</v>
      </c>
      <c r="S26" s="2">
        <v>1752</v>
      </c>
      <c r="T26" s="2">
        <v>604</v>
      </c>
      <c r="U26" s="2">
        <v>1659</v>
      </c>
      <c r="V26" s="2">
        <v>644</v>
      </c>
      <c r="W26" s="2">
        <v>1619</v>
      </c>
      <c r="X26" s="2">
        <v>715</v>
      </c>
      <c r="Y26" s="2">
        <v>1611</v>
      </c>
    </row>
    <row r="27" spans="1:25">
      <c r="A27" s="4">
        <v>18</v>
      </c>
      <c r="B27" s="2">
        <v>716</v>
      </c>
      <c r="C27" s="2">
        <v>1638</v>
      </c>
      <c r="D27" s="2">
        <v>642</v>
      </c>
      <c r="E27" s="2">
        <v>1720</v>
      </c>
      <c r="F27" s="2">
        <v>553</v>
      </c>
      <c r="G27" s="2">
        <v>1757</v>
      </c>
      <c r="H27" s="2">
        <v>458</v>
      </c>
      <c r="I27" s="2">
        <v>1835</v>
      </c>
      <c r="J27" s="2">
        <v>418</v>
      </c>
      <c r="K27" s="2">
        <v>1909</v>
      </c>
      <c r="L27" s="2">
        <v>404</v>
      </c>
      <c r="M27" s="2">
        <v>1932</v>
      </c>
      <c r="N27" s="2">
        <v>422</v>
      </c>
      <c r="O27" s="2">
        <v>1924</v>
      </c>
      <c r="P27" s="2">
        <v>455</v>
      </c>
      <c r="Q27" s="2">
        <v>1845</v>
      </c>
      <c r="R27" s="2">
        <v>530</v>
      </c>
      <c r="S27" s="2">
        <v>1751</v>
      </c>
      <c r="T27" s="2">
        <v>605</v>
      </c>
      <c r="U27" s="2">
        <v>1658</v>
      </c>
      <c r="V27" s="2">
        <v>646</v>
      </c>
      <c r="W27" s="2">
        <v>1618</v>
      </c>
      <c r="X27" s="2">
        <v>716</v>
      </c>
      <c r="Y27" s="2">
        <v>1611</v>
      </c>
    </row>
    <row r="28" spans="1:25">
      <c r="A28" s="4">
        <v>19</v>
      </c>
      <c r="B28" s="2">
        <v>715</v>
      </c>
      <c r="C28" s="2">
        <v>1640</v>
      </c>
      <c r="D28" s="2">
        <v>640</v>
      </c>
      <c r="E28" s="2">
        <v>1722</v>
      </c>
      <c r="F28" s="2">
        <v>551</v>
      </c>
      <c r="G28" s="2">
        <v>1758</v>
      </c>
      <c r="H28" s="2">
        <v>457</v>
      </c>
      <c r="I28" s="2">
        <v>1836</v>
      </c>
      <c r="J28" s="2">
        <v>417</v>
      </c>
      <c r="K28" s="2">
        <v>1910</v>
      </c>
      <c r="L28" s="2">
        <v>405</v>
      </c>
      <c r="M28" s="2">
        <v>1932</v>
      </c>
      <c r="N28" s="2">
        <v>423</v>
      </c>
      <c r="O28" s="2">
        <v>1923</v>
      </c>
      <c r="P28" s="2">
        <v>456</v>
      </c>
      <c r="Q28" s="2">
        <v>1844</v>
      </c>
      <c r="R28" s="2">
        <v>531</v>
      </c>
      <c r="S28" s="2">
        <v>1749</v>
      </c>
      <c r="T28" s="2">
        <v>607</v>
      </c>
      <c r="U28" s="2">
        <v>1656</v>
      </c>
      <c r="V28" s="2">
        <v>647</v>
      </c>
      <c r="W28" s="2">
        <v>1617</v>
      </c>
      <c r="X28" s="2">
        <v>717</v>
      </c>
      <c r="Y28" s="2">
        <v>1612</v>
      </c>
    </row>
    <row r="29" spans="1:25">
      <c r="A29" s="4">
        <v>20</v>
      </c>
      <c r="B29" s="2">
        <v>715</v>
      </c>
      <c r="C29" s="2">
        <v>1641</v>
      </c>
      <c r="D29" s="2">
        <v>639</v>
      </c>
      <c r="E29" s="2">
        <v>1723</v>
      </c>
      <c r="F29" s="2">
        <v>549</v>
      </c>
      <c r="G29" s="2">
        <v>1800</v>
      </c>
      <c r="H29" s="2">
        <v>455</v>
      </c>
      <c r="I29" s="2">
        <v>1837</v>
      </c>
      <c r="J29" s="2">
        <v>416</v>
      </c>
      <c r="K29" s="2">
        <v>1911</v>
      </c>
      <c r="L29" s="2">
        <v>405</v>
      </c>
      <c r="M29" s="2">
        <v>1932</v>
      </c>
      <c r="N29" s="2">
        <v>424</v>
      </c>
      <c r="O29" s="2">
        <v>1922</v>
      </c>
      <c r="P29" s="2">
        <v>457</v>
      </c>
      <c r="Q29" s="2">
        <v>1842</v>
      </c>
      <c r="R29" s="2">
        <v>532</v>
      </c>
      <c r="S29" s="2">
        <v>1747</v>
      </c>
      <c r="T29" s="2">
        <v>608</v>
      </c>
      <c r="U29" s="2">
        <v>1654</v>
      </c>
      <c r="V29" s="2">
        <v>648</v>
      </c>
      <c r="W29" s="2">
        <v>1617</v>
      </c>
      <c r="X29" s="2">
        <v>717</v>
      </c>
      <c r="Y29" s="2">
        <v>1612</v>
      </c>
    </row>
    <row r="30" spans="1:25">
      <c r="A30" s="4">
        <v>21</v>
      </c>
      <c r="B30" s="2">
        <v>714</v>
      </c>
      <c r="C30" s="2">
        <v>1642</v>
      </c>
      <c r="D30" s="2">
        <v>637</v>
      </c>
      <c r="E30" s="2">
        <v>1724</v>
      </c>
      <c r="F30" s="2">
        <v>547</v>
      </c>
      <c r="G30" s="2">
        <v>1801</v>
      </c>
      <c r="H30" s="2">
        <v>453</v>
      </c>
      <c r="I30" s="2">
        <v>1838</v>
      </c>
      <c r="J30" s="2">
        <v>415</v>
      </c>
      <c r="K30" s="2">
        <v>1912</v>
      </c>
      <c r="L30" s="2">
        <v>405</v>
      </c>
      <c r="M30" s="2">
        <v>1932</v>
      </c>
      <c r="N30" s="2">
        <v>425</v>
      </c>
      <c r="O30" s="2">
        <v>1921</v>
      </c>
      <c r="P30" s="2">
        <v>458</v>
      </c>
      <c r="Q30" s="2">
        <v>1840</v>
      </c>
      <c r="R30" s="2">
        <v>533</v>
      </c>
      <c r="S30" s="2">
        <v>1745</v>
      </c>
      <c r="T30" s="2">
        <v>609</v>
      </c>
      <c r="U30" s="2">
        <v>1653</v>
      </c>
      <c r="V30" s="2">
        <v>649</v>
      </c>
      <c r="W30" s="2">
        <v>1616</v>
      </c>
      <c r="X30" s="2">
        <v>718</v>
      </c>
      <c r="Y30" s="2">
        <v>1613</v>
      </c>
    </row>
    <row r="31" spans="1:25">
      <c r="A31" s="4">
        <v>22</v>
      </c>
      <c r="B31" s="2">
        <v>713</v>
      </c>
      <c r="C31" s="2">
        <v>1644</v>
      </c>
      <c r="D31" s="2">
        <v>636</v>
      </c>
      <c r="E31" s="2">
        <v>1726</v>
      </c>
      <c r="F31" s="2">
        <v>546</v>
      </c>
      <c r="G31" s="2">
        <v>1802</v>
      </c>
      <c r="H31" s="2">
        <v>452</v>
      </c>
      <c r="I31" s="2">
        <v>1839</v>
      </c>
      <c r="J31" s="2">
        <v>414</v>
      </c>
      <c r="K31" s="2">
        <v>1913</v>
      </c>
      <c r="L31" s="2">
        <v>405</v>
      </c>
      <c r="M31" s="2">
        <v>1933</v>
      </c>
      <c r="N31" s="2">
        <v>426</v>
      </c>
      <c r="O31" s="2">
        <v>1920</v>
      </c>
      <c r="P31" s="2">
        <v>500</v>
      </c>
      <c r="Q31" s="2">
        <v>1839</v>
      </c>
      <c r="R31" s="2">
        <v>535</v>
      </c>
      <c r="S31" s="2">
        <v>1743</v>
      </c>
      <c r="T31" s="2">
        <v>610</v>
      </c>
      <c r="U31" s="2">
        <v>1651</v>
      </c>
      <c r="V31" s="2">
        <v>651</v>
      </c>
      <c r="W31" s="2">
        <v>1615</v>
      </c>
      <c r="X31" s="2">
        <v>718</v>
      </c>
      <c r="Y31" s="2">
        <v>1613</v>
      </c>
    </row>
    <row r="32" spans="1:25">
      <c r="A32" s="4">
        <v>23</v>
      </c>
      <c r="B32" s="2">
        <v>713</v>
      </c>
      <c r="C32" s="2">
        <v>1645</v>
      </c>
      <c r="D32" s="2">
        <v>634</v>
      </c>
      <c r="E32" s="2">
        <v>1727</v>
      </c>
      <c r="F32" s="2">
        <v>544</v>
      </c>
      <c r="G32" s="2">
        <v>1803</v>
      </c>
      <c r="H32" s="2">
        <v>450</v>
      </c>
      <c r="I32" s="2">
        <v>1841</v>
      </c>
      <c r="J32" s="2">
        <v>413</v>
      </c>
      <c r="K32" s="2">
        <v>1914</v>
      </c>
      <c r="L32" s="2">
        <v>406</v>
      </c>
      <c r="M32" s="2">
        <v>1933</v>
      </c>
      <c r="N32" s="2">
        <v>427</v>
      </c>
      <c r="O32" s="2">
        <v>1919</v>
      </c>
      <c r="P32" s="2">
        <v>501</v>
      </c>
      <c r="Q32" s="2">
        <v>1837</v>
      </c>
      <c r="R32" s="2">
        <v>536</v>
      </c>
      <c r="S32" s="2">
        <v>1741</v>
      </c>
      <c r="T32" s="2">
        <v>612</v>
      </c>
      <c r="U32" s="2">
        <v>1650</v>
      </c>
      <c r="V32" s="2">
        <v>652</v>
      </c>
      <c r="W32" s="2">
        <v>1614</v>
      </c>
      <c r="X32" s="2">
        <v>719</v>
      </c>
      <c r="Y32" s="2">
        <v>1614</v>
      </c>
    </row>
    <row r="33" spans="1:25">
      <c r="A33" s="4">
        <v>24</v>
      </c>
      <c r="B33" s="2">
        <v>712</v>
      </c>
      <c r="C33" s="2">
        <v>1646</v>
      </c>
      <c r="D33" s="2">
        <v>633</v>
      </c>
      <c r="E33" s="2">
        <v>1728</v>
      </c>
      <c r="F33" s="2">
        <v>542</v>
      </c>
      <c r="G33" s="2">
        <v>1805</v>
      </c>
      <c r="H33" s="2">
        <v>449</v>
      </c>
      <c r="I33" s="2">
        <v>1842</v>
      </c>
      <c r="J33" s="2">
        <v>413</v>
      </c>
      <c r="K33" s="2">
        <v>1915</v>
      </c>
      <c r="L33" s="2">
        <v>406</v>
      </c>
      <c r="M33" s="2">
        <v>1933</v>
      </c>
      <c r="N33" s="2">
        <v>428</v>
      </c>
      <c r="O33" s="2">
        <v>1918</v>
      </c>
      <c r="P33" s="2">
        <v>502</v>
      </c>
      <c r="Q33" s="2">
        <v>1835</v>
      </c>
      <c r="R33" s="2">
        <v>537</v>
      </c>
      <c r="S33" s="2">
        <v>1740</v>
      </c>
      <c r="T33" s="2">
        <v>613</v>
      </c>
      <c r="U33" s="2">
        <v>1648</v>
      </c>
      <c r="V33" s="2">
        <v>653</v>
      </c>
      <c r="W33" s="2">
        <v>1614</v>
      </c>
      <c r="X33" s="2">
        <v>719</v>
      </c>
      <c r="Y33" s="2">
        <v>1614</v>
      </c>
    </row>
    <row r="34" spans="1:25">
      <c r="A34" s="4">
        <v>25</v>
      </c>
      <c r="B34" s="2">
        <v>711</v>
      </c>
      <c r="C34" s="2">
        <v>1648</v>
      </c>
      <c r="D34" s="2">
        <v>631</v>
      </c>
      <c r="E34" s="2">
        <v>1729</v>
      </c>
      <c r="F34" s="2">
        <v>540</v>
      </c>
      <c r="G34" s="2">
        <v>1806</v>
      </c>
      <c r="H34" s="2">
        <v>447</v>
      </c>
      <c r="I34" s="2">
        <v>1843</v>
      </c>
      <c r="J34" s="2">
        <v>412</v>
      </c>
      <c r="K34" s="2">
        <v>1916</v>
      </c>
      <c r="L34" s="2">
        <v>406</v>
      </c>
      <c r="M34" s="2">
        <v>1933</v>
      </c>
      <c r="N34" s="2">
        <v>429</v>
      </c>
      <c r="O34" s="2">
        <v>1917</v>
      </c>
      <c r="P34" s="2">
        <v>503</v>
      </c>
      <c r="Q34" s="2">
        <v>1834</v>
      </c>
      <c r="R34" s="2">
        <v>538</v>
      </c>
      <c r="S34" s="2">
        <v>1738</v>
      </c>
      <c r="T34" s="2">
        <v>614</v>
      </c>
      <c r="U34" s="2">
        <v>1647</v>
      </c>
      <c r="V34" s="2">
        <v>654</v>
      </c>
      <c r="W34" s="2">
        <v>1613</v>
      </c>
      <c r="X34" s="2">
        <v>719</v>
      </c>
      <c r="Y34" s="2">
        <v>1615</v>
      </c>
    </row>
    <row r="35" spans="1:25">
      <c r="A35" s="4">
        <v>26</v>
      </c>
      <c r="B35" s="2">
        <v>710</v>
      </c>
      <c r="C35" s="2">
        <v>1649</v>
      </c>
      <c r="D35" s="2">
        <v>629</v>
      </c>
      <c r="E35" s="2">
        <v>1731</v>
      </c>
      <c r="F35" s="2">
        <v>538</v>
      </c>
      <c r="G35" s="2">
        <v>1807</v>
      </c>
      <c r="H35" s="2">
        <v>446</v>
      </c>
      <c r="I35" s="2">
        <v>1844</v>
      </c>
      <c r="J35" s="2">
        <v>411</v>
      </c>
      <c r="K35" s="2">
        <v>1917</v>
      </c>
      <c r="L35" s="2">
        <v>407</v>
      </c>
      <c r="M35" s="2">
        <v>1933</v>
      </c>
      <c r="N35" s="2">
        <v>430</v>
      </c>
      <c r="O35" s="2">
        <v>1916</v>
      </c>
      <c r="P35" s="2">
        <v>504</v>
      </c>
      <c r="Q35" s="2">
        <v>1832</v>
      </c>
      <c r="R35" s="2">
        <v>539</v>
      </c>
      <c r="S35" s="2">
        <v>1736</v>
      </c>
      <c r="T35" s="2">
        <v>616</v>
      </c>
      <c r="U35" s="2">
        <v>1645</v>
      </c>
      <c r="V35" s="2">
        <v>655</v>
      </c>
      <c r="W35" s="2">
        <v>1613</v>
      </c>
      <c r="X35" s="2">
        <v>720</v>
      </c>
      <c r="Y35" s="2">
        <v>1616</v>
      </c>
    </row>
    <row r="36" spans="1:25">
      <c r="A36" s="4">
        <v>27</v>
      </c>
      <c r="B36" s="2">
        <v>709</v>
      </c>
      <c r="C36" s="2">
        <v>1650</v>
      </c>
      <c r="D36" s="2">
        <v>628</v>
      </c>
      <c r="E36" s="2">
        <v>1732</v>
      </c>
      <c r="F36" s="2">
        <v>537</v>
      </c>
      <c r="G36" s="2">
        <v>1808</v>
      </c>
      <c r="H36" s="2">
        <v>444</v>
      </c>
      <c r="I36" s="2">
        <v>1845</v>
      </c>
      <c r="J36" s="2">
        <v>410</v>
      </c>
      <c r="K36" s="2">
        <v>1918</v>
      </c>
      <c r="L36" s="2">
        <v>407</v>
      </c>
      <c r="M36" s="2">
        <v>1933</v>
      </c>
      <c r="N36" s="2">
        <v>431</v>
      </c>
      <c r="O36" s="2">
        <v>1915</v>
      </c>
      <c r="P36" s="2">
        <v>505</v>
      </c>
      <c r="Q36" s="2">
        <v>1830</v>
      </c>
      <c r="R36" s="2">
        <v>540</v>
      </c>
      <c r="S36" s="2">
        <v>1734</v>
      </c>
      <c r="T36" s="2">
        <v>617</v>
      </c>
      <c r="U36" s="2">
        <v>1644</v>
      </c>
      <c r="V36" s="2">
        <v>657</v>
      </c>
      <c r="W36" s="2">
        <v>1612</v>
      </c>
      <c r="X36" s="2">
        <v>720</v>
      </c>
      <c r="Y36" s="2">
        <v>1616</v>
      </c>
    </row>
    <row r="37" spans="1:25">
      <c r="A37" s="4">
        <v>28</v>
      </c>
      <c r="B37" s="2">
        <v>708</v>
      </c>
      <c r="C37" s="2">
        <v>1652</v>
      </c>
      <c r="D37" s="2">
        <v>626</v>
      </c>
      <c r="E37" s="2">
        <v>1733</v>
      </c>
      <c r="F37" s="2">
        <v>535</v>
      </c>
      <c r="G37" s="2">
        <v>1809</v>
      </c>
      <c r="H37" s="2">
        <v>443</v>
      </c>
      <c r="I37" s="2">
        <v>1846</v>
      </c>
      <c r="J37" s="2">
        <v>410</v>
      </c>
      <c r="K37" s="2">
        <v>1919</v>
      </c>
      <c r="L37" s="2">
        <v>407</v>
      </c>
      <c r="M37" s="2">
        <v>1933</v>
      </c>
      <c r="N37" s="2">
        <v>432</v>
      </c>
      <c r="O37" s="2">
        <v>1914</v>
      </c>
      <c r="P37" s="2">
        <v>506</v>
      </c>
      <c r="Q37" s="2">
        <v>1828</v>
      </c>
      <c r="R37" s="2">
        <v>541</v>
      </c>
      <c r="S37" s="2">
        <v>1732</v>
      </c>
      <c r="T37" s="2">
        <v>618</v>
      </c>
      <c r="U37" s="2">
        <v>1642</v>
      </c>
      <c r="V37" s="2">
        <v>658</v>
      </c>
      <c r="W37" s="2">
        <v>1612</v>
      </c>
      <c r="X37" s="2">
        <v>720</v>
      </c>
      <c r="Y37" s="2">
        <v>1617</v>
      </c>
    </row>
    <row r="38" spans="1:25">
      <c r="A38" s="4">
        <v>29</v>
      </c>
      <c r="B38" s="2">
        <v>707</v>
      </c>
      <c r="C38" s="2">
        <v>1653</v>
      </c>
      <c r="D38" s="2">
        <v>624</v>
      </c>
      <c r="E38" s="2">
        <v>1735</v>
      </c>
      <c r="F38" s="2">
        <v>533</v>
      </c>
      <c r="G38" s="2">
        <v>1811</v>
      </c>
      <c r="H38" s="2">
        <v>441</v>
      </c>
      <c r="I38" s="2">
        <v>1848</v>
      </c>
      <c r="J38" s="2">
        <v>409</v>
      </c>
      <c r="K38" s="2">
        <v>1920</v>
      </c>
      <c r="L38" s="2">
        <v>408</v>
      </c>
      <c r="M38" s="2">
        <v>1933</v>
      </c>
      <c r="N38" s="2">
        <v>433</v>
      </c>
      <c r="O38" s="2">
        <v>1913</v>
      </c>
      <c r="P38" s="2">
        <v>507</v>
      </c>
      <c r="Q38" s="2">
        <v>1827</v>
      </c>
      <c r="R38" s="2">
        <v>543</v>
      </c>
      <c r="S38" s="2">
        <v>1730</v>
      </c>
      <c r="T38" s="2">
        <v>619</v>
      </c>
      <c r="U38" s="2">
        <v>1641</v>
      </c>
      <c r="V38" s="2">
        <v>659</v>
      </c>
      <c r="W38" s="2">
        <v>1611</v>
      </c>
      <c r="X38" s="2">
        <v>720</v>
      </c>
      <c r="Y38" s="2">
        <v>1618</v>
      </c>
    </row>
    <row r="39" spans="1:25">
      <c r="A39" s="4">
        <v>30</v>
      </c>
      <c r="B39" s="2">
        <v>706</v>
      </c>
      <c r="C39" s="2">
        <v>1654</v>
      </c>
      <c r="F39" s="2">
        <v>531</v>
      </c>
      <c r="G39" s="2">
        <v>1812</v>
      </c>
      <c r="H39" s="2">
        <v>440</v>
      </c>
      <c r="I39" s="2">
        <v>1849</v>
      </c>
      <c r="J39" s="2">
        <v>409</v>
      </c>
      <c r="K39" s="2">
        <v>1921</v>
      </c>
      <c r="L39" s="2">
        <v>408</v>
      </c>
      <c r="M39" s="2">
        <v>1932</v>
      </c>
      <c r="N39" s="2">
        <v>434</v>
      </c>
      <c r="O39" s="2">
        <v>1912</v>
      </c>
      <c r="P39" s="2">
        <v>509</v>
      </c>
      <c r="Q39" s="2">
        <v>1825</v>
      </c>
      <c r="R39" s="2">
        <v>544</v>
      </c>
      <c r="S39" s="2">
        <v>1729</v>
      </c>
      <c r="T39" s="2">
        <v>621</v>
      </c>
      <c r="U39" s="2">
        <v>1639</v>
      </c>
      <c r="V39" s="2">
        <v>700</v>
      </c>
      <c r="W39" s="2">
        <v>1611</v>
      </c>
      <c r="X39" s="2">
        <v>721</v>
      </c>
      <c r="Y39" s="2">
        <v>1619</v>
      </c>
    </row>
    <row r="40" spans="1:25">
      <c r="A40" s="4">
        <v>31</v>
      </c>
      <c r="B40" s="2">
        <v>705</v>
      </c>
      <c r="C40" s="2">
        <v>1656</v>
      </c>
      <c r="F40" s="2">
        <v>529</v>
      </c>
      <c r="G40" s="2">
        <v>1813</v>
      </c>
      <c r="J40" s="2">
        <v>408</v>
      </c>
      <c r="K40" s="2">
        <v>1921</v>
      </c>
      <c r="N40" s="2">
        <v>435</v>
      </c>
      <c r="O40" s="2">
        <v>1911</v>
      </c>
      <c r="P40" s="2">
        <v>510</v>
      </c>
      <c r="Q40" s="2">
        <v>1823</v>
      </c>
      <c r="T40" s="2">
        <v>622</v>
      </c>
      <c r="U40" s="2">
        <v>1638</v>
      </c>
      <c r="X40" s="2">
        <v>721</v>
      </c>
      <c r="Y40" s="2">
        <v>1620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7"/>
  <sheetViews>
    <sheetView workbookViewId="0">
      <pane ySplit="1" topLeftCell="A2" activePane="bottomLeft" state="frozen"/>
      <selection pane="bottomLeft" sqref="A1:XFD1048576"/>
    </sheetView>
  </sheetViews>
  <sheetFormatPr defaultRowHeight="12.75"/>
  <cols>
    <col min="1" max="1" width="8.85546875" style="2" customWidth="1"/>
    <col min="2" max="2" width="10.42578125" style="2" customWidth="1"/>
    <col min="3" max="3" width="18.7109375" style="2" customWidth="1"/>
    <col min="4" max="4" width="17.7109375" style="2" bestFit="1" customWidth="1"/>
    <col min="5" max="5" width="17.7109375" style="2" customWidth="1"/>
    <col min="6" max="7" width="13.42578125" customWidth="1"/>
    <col min="8" max="8" width="11.7109375" style="2" customWidth="1"/>
    <col min="9" max="9" width="13" customWidth="1"/>
    <col min="10" max="10" width="10.5703125" customWidth="1"/>
    <col min="11" max="11" width="3" customWidth="1"/>
    <col min="13" max="13" width="25.7109375" bestFit="1" customWidth="1"/>
  </cols>
  <sheetData>
    <row r="1" spans="1:13">
      <c r="A1" s="5" t="s">
        <v>3</v>
      </c>
      <c r="B1" s="5" t="s">
        <v>4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12</v>
      </c>
      <c r="I1" s="6" t="s">
        <v>19</v>
      </c>
      <c r="J1" s="7" t="s">
        <v>13</v>
      </c>
      <c r="L1" s="9">
        <v>40</v>
      </c>
      <c r="M1" s="8" t="s">
        <v>11</v>
      </c>
    </row>
    <row r="2" spans="1:13">
      <c r="A2" s="2">
        <v>1</v>
      </c>
      <c r="B2" s="3">
        <v>40909</v>
      </c>
      <c r="C2" s="2">
        <v>721</v>
      </c>
      <c r="D2" s="2">
        <v>1620</v>
      </c>
      <c r="E2" s="2">
        <v>0</v>
      </c>
      <c r="F2" s="2">
        <f>ROUND(INT(C2/100)+RIGHT(C2,2)/60,0)+E2</f>
        <v>7</v>
      </c>
      <c r="G2" s="2">
        <f t="shared" ref="G2:G65" si="0">ROUND(INT(D2/100)+RIGHT(D2,2)/60,0)</f>
        <v>16</v>
      </c>
      <c r="H2" s="2" t="str">
        <f>RIGHT(C2,2)</f>
        <v>21</v>
      </c>
      <c r="I2" s="2">
        <f>INT(($F2*60+$H2+$L$1)/60)</f>
        <v>8</v>
      </c>
      <c r="J2" s="2">
        <f>$F2*60+$H2+$L$1-I2*60</f>
        <v>1</v>
      </c>
    </row>
    <row r="3" spans="1:13">
      <c r="A3" s="2">
        <v>2</v>
      </c>
      <c r="B3" s="3">
        <v>40910</v>
      </c>
      <c r="C3" s="2">
        <v>721</v>
      </c>
      <c r="D3" s="2">
        <v>1621</v>
      </c>
      <c r="E3" s="2">
        <v>0</v>
      </c>
      <c r="F3" s="2">
        <f t="shared" ref="F3:F66" si="1">ROUND(INT(C3/100)+RIGHT(C3,2)/60,0)+E3</f>
        <v>7</v>
      </c>
      <c r="G3" s="2">
        <f t="shared" si="0"/>
        <v>16</v>
      </c>
      <c r="H3" s="2" t="str">
        <f t="shared" ref="H3:H66" si="2">RIGHT(C3,2)</f>
        <v>21</v>
      </c>
      <c r="I3" s="2">
        <f t="shared" ref="I3:I66" si="3">INT(($F3*60+$H3+$L$1)/60)</f>
        <v>8</v>
      </c>
      <c r="J3" s="2">
        <f t="shared" ref="J3:J66" si="4">$F3*60+$H3+$L$1-I3*60</f>
        <v>1</v>
      </c>
    </row>
    <row r="4" spans="1:13">
      <c r="A4" s="2">
        <v>3</v>
      </c>
      <c r="B4" s="3">
        <v>40911</v>
      </c>
      <c r="C4" s="2">
        <v>721</v>
      </c>
      <c r="D4" s="2">
        <v>1622</v>
      </c>
      <c r="E4" s="2">
        <v>0</v>
      </c>
      <c r="F4" s="2">
        <f t="shared" si="1"/>
        <v>7</v>
      </c>
      <c r="G4" s="2">
        <f t="shared" si="0"/>
        <v>16</v>
      </c>
      <c r="H4" s="2" t="str">
        <f t="shared" si="2"/>
        <v>21</v>
      </c>
      <c r="I4" s="2">
        <f t="shared" si="3"/>
        <v>8</v>
      </c>
      <c r="J4" s="2">
        <f t="shared" si="4"/>
        <v>1</v>
      </c>
    </row>
    <row r="5" spans="1:13">
      <c r="A5" s="2">
        <v>4</v>
      </c>
      <c r="B5" s="3">
        <v>40912</v>
      </c>
      <c r="C5" s="2">
        <v>721</v>
      </c>
      <c r="D5" s="2">
        <v>1623</v>
      </c>
      <c r="E5" s="2">
        <v>0</v>
      </c>
      <c r="F5" s="2">
        <f t="shared" si="1"/>
        <v>7</v>
      </c>
      <c r="G5" s="2">
        <f t="shared" si="0"/>
        <v>16</v>
      </c>
      <c r="H5" s="2" t="str">
        <f t="shared" si="2"/>
        <v>21</v>
      </c>
      <c r="I5" s="2">
        <f t="shared" si="3"/>
        <v>8</v>
      </c>
      <c r="J5" s="2">
        <f t="shared" si="4"/>
        <v>1</v>
      </c>
    </row>
    <row r="6" spans="1:13">
      <c r="A6" s="2">
        <v>5</v>
      </c>
      <c r="B6" s="3">
        <v>40913</v>
      </c>
      <c r="C6" s="2">
        <v>721</v>
      </c>
      <c r="D6" s="2">
        <v>1624</v>
      </c>
      <c r="E6" s="2">
        <v>0</v>
      </c>
      <c r="F6" s="2">
        <f t="shared" si="1"/>
        <v>7</v>
      </c>
      <c r="G6" s="2">
        <f t="shared" si="0"/>
        <v>16</v>
      </c>
      <c r="H6" s="2" t="str">
        <f t="shared" si="2"/>
        <v>21</v>
      </c>
      <c r="I6" s="2">
        <f t="shared" si="3"/>
        <v>8</v>
      </c>
      <c r="J6" s="2">
        <f t="shared" si="4"/>
        <v>1</v>
      </c>
    </row>
    <row r="7" spans="1:13">
      <c r="A7" s="2">
        <v>6</v>
      </c>
      <c r="B7" s="3">
        <v>40914</v>
      </c>
      <c r="C7" s="2">
        <v>721</v>
      </c>
      <c r="D7" s="2">
        <v>1625</v>
      </c>
      <c r="E7" s="2">
        <v>0</v>
      </c>
      <c r="F7" s="2">
        <f t="shared" si="1"/>
        <v>7</v>
      </c>
      <c r="G7" s="2">
        <f t="shared" si="0"/>
        <v>16</v>
      </c>
      <c r="H7" s="2" t="str">
        <f t="shared" si="2"/>
        <v>21</v>
      </c>
      <c r="I7" s="2">
        <f t="shared" si="3"/>
        <v>8</v>
      </c>
      <c r="J7" s="2">
        <f t="shared" si="4"/>
        <v>1</v>
      </c>
    </row>
    <row r="8" spans="1:13">
      <c r="A8" s="2">
        <v>7</v>
      </c>
      <c r="B8" s="3">
        <v>40915</v>
      </c>
      <c r="C8" s="2">
        <v>720</v>
      </c>
      <c r="D8" s="2">
        <v>1626</v>
      </c>
      <c r="E8" s="2">
        <v>0</v>
      </c>
      <c r="F8" s="2">
        <f t="shared" si="1"/>
        <v>7</v>
      </c>
      <c r="G8" s="2">
        <f t="shared" si="0"/>
        <v>16</v>
      </c>
      <c r="H8" s="2" t="str">
        <f t="shared" si="2"/>
        <v>20</v>
      </c>
      <c r="I8" s="2">
        <f t="shared" si="3"/>
        <v>8</v>
      </c>
      <c r="J8" s="2">
        <f t="shared" si="4"/>
        <v>0</v>
      </c>
    </row>
    <row r="9" spans="1:13">
      <c r="A9" s="2">
        <v>8</v>
      </c>
      <c r="B9" s="3">
        <v>40916</v>
      </c>
      <c r="C9" s="2">
        <v>720</v>
      </c>
      <c r="D9" s="2">
        <v>1627</v>
      </c>
      <c r="E9" s="2">
        <v>0</v>
      </c>
      <c r="F9" s="2">
        <f t="shared" si="1"/>
        <v>7</v>
      </c>
      <c r="G9" s="2">
        <f t="shared" si="0"/>
        <v>16</v>
      </c>
      <c r="H9" s="2" t="str">
        <f t="shared" si="2"/>
        <v>20</v>
      </c>
      <c r="I9" s="2">
        <f t="shared" si="3"/>
        <v>8</v>
      </c>
      <c r="J9" s="2">
        <f t="shared" si="4"/>
        <v>0</v>
      </c>
    </row>
    <row r="10" spans="1:13">
      <c r="A10" s="2">
        <v>9</v>
      </c>
      <c r="B10" s="3">
        <v>40917</v>
      </c>
      <c r="C10" s="2">
        <v>720</v>
      </c>
      <c r="D10" s="2">
        <v>1628</v>
      </c>
      <c r="E10" s="2">
        <v>0</v>
      </c>
      <c r="F10" s="2">
        <f t="shared" si="1"/>
        <v>7</v>
      </c>
      <c r="G10" s="2">
        <f t="shared" si="0"/>
        <v>16</v>
      </c>
      <c r="H10" s="2" t="str">
        <f t="shared" si="2"/>
        <v>20</v>
      </c>
      <c r="I10" s="2">
        <f t="shared" si="3"/>
        <v>8</v>
      </c>
      <c r="J10" s="2">
        <f t="shared" si="4"/>
        <v>0</v>
      </c>
    </row>
    <row r="11" spans="1:13">
      <c r="A11" s="2">
        <v>10</v>
      </c>
      <c r="B11" s="3">
        <v>40918</v>
      </c>
      <c r="C11" s="2">
        <v>720</v>
      </c>
      <c r="D11" s="2">
        <v>1629</v>
      </c>
      <c r="E11" s="2">
        <v>0</v>
      </c>
      <c r="F11" s="2">
        <f t="shared" si="1"/>
        <v>7</v>
      </c>
      <c r="G11" s="2">
        <f t="shared" si="0"/>
        <v>16</v>
      </c>
      <c r="H11" s="2" t="str">
        <f t="shared" si="2"/>
        <v>20</v>
      </c>
      <c r="I11" s="2">
        <f t="shared" si="3"/>
        <v>8</v>
      </c>
      <c r="J11" s="2">
        <f t="shared" si="4"/>
        <v>0</v>
      </c>
    </row>
    <row r="12" spans="1:13">
      <c r="A12" s="2">
        <v>11</v>
      </c>
      <c r="B12" s="3">
        <v>40919</v>
      </c>
      <c r="C12" s="2">
        <v>719</v>
      </c>
      <c r="D12" s="2">
        <v>1630</v>
      </c>
      <c r="E12" s="2">
        <v>0</v>
      </c>
      <c r="F12" s="2">
        <f t="shared" si="1"/>
        <v>7</v>
      </c>
      <c r="G12" s="2">
        <f t="shared" si="0"/>
        <v>17</v>
      </c>
      <c r="H12" s="2" t="str">
        <f t="shared" si="2"/>
        <v>19</v>
      </c>
      <c r="I12" s="2">
        <f t="shared" si="3"/>
        <v>7</v>
      </c>
      <c r="J12" s="2">
        <f t="shared" si="4"/>
        <v>59</v>
      </c>
    </row>
    <row r="13" spans="1:13">
      <c r="A13" s="2">
        <v>12</v>
      </c>
      <c r="B13" s="3">
        <v>40920</v>
      </c>
      <c r="C13" s="2">
        <v>719</v>
      </c>
      <c r="D13" s="2">
        <v>1631</v>
      </c>
      <c r="E13" s="2">
        <v>0</v>
      </c>
      <c r="F13" s="2">
        <f t="shared" si="1"/>
        <v>7</v>
      </c>
      <c r="G13" s="2">
        <f t="shared" si="0"/>
        <v>17</v>
      </c>
      <c r="H13" s="2" t="str">
        <f t="shared" si="2"/>
        <v>19</v>
      </c>
      <c r="I13" s="2">
        <f t="shared" si="3"/>
        <v>7</v>
      </c>
      <c r="J13" s="2">
        <f t="shared" si="4"/>
        <v>59</v>
      </c>
    </row>
    <row r="14" spans="1:13">
      <c r="A14" s="2">
        <v>13</v>
      </c>
      <c r="B14" s="3">
        <v>40921</v>
      </c>
      <c r="C14" s="2">
        <v>719</v>
      </c>
      <c r="D14" s="2">
        <v>1632</v>
      </c>
      <c r="E14" s="2">
        <v>0</v>
      </c>
      <c r="F14" s="2">
        <f t="shared" si="1"/>
        <v>7</v>
      </c>
      <c r="G14" s="2">
        <f t="shared" si="0"/>
        <v>17</v>
      </c>
      <c r="H14" s="2" t="str">
        <f t="shared" si="2"/>
        <v>19</v>
      </c>
      <c r="I14" s="2">
        <f t="shared" si="3"/>
        <v>7</v>
      </c>
      <c r="J14" s="2">
        <f t="shared" si="4"/>
        <v>59</v>
      </c>
    </row>
    <row r="15" spans="1:13">
      <c r="A15" s="2">
        <v>14</v>
      </c>
      <c r="B15" s="3">
        <v>40922</v>
      </c>
      <c r="C15" s="2">
        <v>718</v>
      </c>
      <c r="D15" s="2">
        <v>1633</v>
      </c>
      <c r="E15" s="2">
        <v>0</v>
      </c>
      <c r="F15" s="2">
        <f t="shared" si="1"/>
        <v>7</v>
      </c>
      <c r="G15" s="2">
        <f t="shared" si="0"/>
        <v>17</v>
      </c>
      <c r="H15" s="2" t="str">
        <f t="shared" si="2"/>
        <v>18</v>
      </c>
      <c r="I15" s="2">
        <f t="shared" si="3"/>
        <v>7</v>
      </c>
      <c r="J15" s="2">
        <f t="shared" si="4"/>
        <v>58</v>
      </c>
    </row>
    <row r="16" spans="1:13">
      <c r="A16" s="2">
        <v>15</v>
      </c>
      <c r="B16" s="3">
        <v>40923</v>
      </c>
      <c r="C16" s="2">
        <v>718</v>
      </c>
      <c r="D16" s="2">
        <v>1635</v>
      </c>
      <c r="E16" s="2">
        <v>0</v>
      </c>
      <c r="F16" s="2">
        <f t="shared" si="1"/>
        <v>7</v>
      </c>
      <c r="G16" s="2">
        <f t="shared" si="0"/>
        <v>17</v>
      </c>
      <c r="H16" s="2" t="str">
        <f t="shared" si="2"/>
        <v>18</v>
      </c>
      <c r="I16" s="2">
        <f t="shared" si="3"/>
        <v>7</v>
      </c>
      <c r="J16" s="2">
        <f t="shared" si="4"/>
        <v>58</v>
      </c>
    </row>
    <row r="17" spans="1:10">
      <c r="A17" s="2">
        <v>16</v>
      </c>
      <c r="B17" s="3">
        <v>40924</v>
      </c>
      <c r="C17" s="2">
        <v>717</v>
      </c>
      <c r="D17" s="2">
        <v>1636</v>
      </c>
      <c r="E17" s="2">
        <v>0</v>
      </c>
      <c r="F17" s="2">
        <f t="shared" si="1"/>
        <v>7</v>
      </c>
      <c r="G17" s="2">
        <f t="shared" si="0"/>
        <v>17</v>
      </c>
      <c r="H17" s="2" t="str">
        <f t="shared" si="2"/>
        <v>17</v>
      </c>
      <c r="I17" s="2">
        <f t="shared" si="3"/>
        <v>7</v>
      </c>
      <c r="J17" s="2">
        <f t="shared" si="4"/>
        <v>57</v>
      </c>
    </row>
    <row r="18" spans="1:10">
      <c r="A18" s="2">
        <v>17</v>
      </c>
      <c r="B18" s="3">
        <v>40925</v>
      </c>
      <c r="C18" s="2">
        <v>717</v>
      </c>
      <c r="D18" s="2">
        <v>1637</v>
      </c>
      <c r="E18" s="2">
        <v>0</v>
      </c>
      <c r="F18" s="2">
        <f t="shared" si="1"/>
        <v>7</v>
      </c>
      <c r="G18" s="2">
        <f t="shared" si="0"/>
        <v>17</v>
      </c>
      <c r="H18" s="2" t="str">
        <f t="shared" si="2"/>
        <v>17</v>
      </c>
      <c r="I18" s="2">
        <f t="shared" si="3"/>
        <v>7</v>
      </c>
      <c r="J18" s="2">
        <f t="shared" si="4"/>
        <v>57</v>
      </c>
    </row>
    <row r="19" spans="1:10">
      <c r="A19" s="2">
        <v>18</v>
      </c>
      <c r="B19" s="3">
        <v>40926</v>
      </c>
      <c r="C19" s="2">
        <v>716</v>
      </c>
      <c r="D19" s="2">
        <v>1638</v>
      </c>
      <c r="E19" s="2">
        <v>0</v>
      </c>
      <c r="F19" s="2">
        <f t="shared" si="1"/>
        <v>7</v>
      </c>
      <c r="G19" s="2">
        <f t="shared" si="0"/>
        <v>17</v>
      </c>
      <c r="H19" s="2" t="str">
        <f t="shared" si="2"/>
        <v>16</v>
      </c>
      <c r="I19" s="2">
        <f t="shared" si="3"/>
        <v>7</v>
      </c>
      <c r="J19" s="2">
        <f t="shared" si="4"/>
        <v>56</v>
      </c>
    </row>
    <row r="20" spans="1:10">
      <c r="A20" s="2">
        <v>19</v>
      </c>
      <c r="B20" s="3">
        <v>40927</v>
      </c>
      <c r="C20" s="2">
        <v>715</v>
      </c>
      <c r="D20" s="2">
        <v>1640</v>
      </c>
      <c r="E20" s="2">
        <v>0</v>
      </c>
      <c r="F20" s="2">
        <f t="shared" si="1"/>
        <v>7</v>
      </c>
      <c r="G20" s="2">
        <f t="shared" si="0"/>
        <v>17</v>
      </c>
      <c r="H20" s="2" t="str">
        <f t="shared" si="2"/>
        <v>15</v>
      </c>
      <c r="I20" s="2">
        <f t="shared" si="3"/>
        <v>7</v>
      </c>
      <c r="J20" s="2">
        <f t="shared" si="4"/>
        <v>55</v>
      </c>
    </row>
    <row r="21" spans="1:10">
      <c r="A21" s="2">
        <v>20</v>
      </c>
      <c r="B21" s="3">
        <v>40928</v>
      </c>
      <c r="C21" s="2">
        <v>715</v>
      </c>
      <c r="D21" s="2">
        <v>1641</v>
      </c>
      <c r="E21" s="2">
        <v>0</v>
      </c>
      <c r="F21" s="2">
        <f t="shared" si="1"/>
        <v>7</v>
      </c>
      <c r="G21" s="2">
        <f t="shared" si="0"/>
        <v>17</v>
      </c>
      <c r="H21" s="2" t="str">
        <f t="shared" si="2"/>
        <v>15</v>
      </c>
      <c r="I21" s="2">
        <f t="shared" si="3"/>
        <v>7</v>
      </c>
      <c r="J21" s="2">
        <f t="shared" si="4"/>
        <v>55</v>
      </c>
    </row>
    <row r="22" spans="1:10">
      <c r="A22" s="2">
        <v>21</v>
      </c>
      <c r="B22" s="3">
        <v>40929</v>
      </c>
      <c r="C22" s="2">
        <v>714</v>
      </c>
      <c r="D22" s="2">
        <v>1642</v>
      </c>
      <c r="E22" s="2">
        <v>0</v>
      </c>
      <c r="F22" s="2">
        <f t="shared" si="1"/>
        <v>7</v>
      </c>
      <c r="G22" s="2">
        <f t="shared" si="0"/>
        <v>17</v>
      </c>
      <c r="H22" s="2" t="str">
        <f t="shared" si="2"/>
        <v>14</v>
      </c>
      <c r="I22" s="2">
        <f t="shared" si="3"/>
        <v>7</v>
      </c>
      <c r="J22" s="2">
        <f t="shared" si="4"/>
        <v>54</v>
      </c>
    </row>
    <row r="23" spans="1:10">
      <c r="A23" s="2">
        <v>22</v>
      </c>
      <c r="B23" s="3">
        <v>40930</v>
      </c>
      <c r="C23" s="2">
        <v>713</v>
      </c>
      <c r="D23" s="2">
        <v>1644</v>
      </c>
      <c r="E23" s="2">
        <v>0</v>
      </c>
      <c r="F23" s="2">
        <f t="shared" si="1"/>
        <v>7</v>
      </c>
      <c r="G23" s="2">
        <f t="shared" si="0"/>
        <v>17</v>
      </c>
      <c r="H23" s="2" t="str">
        <f t="shared" si="2"/>
        <v>13</v>
      </c>
      <c r="I23" s="2">
        <f t="shared" si="3"/>
        <v>7</v>
      </c>
      <c r="J23" s="2">
        <f t="shared" si="4"/>
        <v>53</v>
      </c>
    </row>
    <row r="24" spans="1:10">
      <c r="A24" s="2">
        <v>23</v>
      </c>
      <c r="B24" s="3">
        <v>40931</v>
      </c>
      <c r="C24" s="2">
        <v>713</v>
      </c>
      <c r="D24" s="2">
        <v>1645</v>
      </c>
      <c r="E24" s="2">
        <v>0</v>
      </c>
      <c r="F24" s="2">
        <f t="shared" si="1"/>
        <v>7</v>
      </c>
      <c r="G24" s="2">
        <f t="shared" si="0"/>
        <v>17</v>
      </c>
      <c r="H24" s="2" t="str">
        <f t="shared" si="2"/>
        <v>13</v>
      </c>
      <c r="I24" s="2">
        <f t="shared" si="3"/>
        <v>7</v>
      </c>
      <c r="J24" s="2">
        <f t="shared" si="4"/>
        <v>53</v>
      </c>
    </row>
    <row r="25" spans="1:10">
      <c r="A25" s="2">
        <v>24</v>
      </c>
      <c r="B25" s="3">
        <v>40932</v>
      </c>
      <c r="C25" s="2">
        <v>712</v>
      </c>
      <c r="D25" s="2">
        <v>1646</v>
      </c>
      <c r="E25" s="2">
        <v>0</v>
      </c>
      <c r="F25" s="2">
        <f t="shared" si="1"/>
        <v>7</v>
      </c>
      <c r="G25" s="2">
        <f t="shared" si="0"/>
        <v>17</v>
      </c>
      <c r="H25" s="2" t="str">
        <f t="shared" si="2"/>
        <v>12</v>
      </c>
      <c r="I25" s="2">
        <f t="shared" si="3"/>
        <v>7</v>
      </c>
      <c r="J25" s="2">
        <f t="shared" si="4"/>
        <v>52</v>
      </c>
    </row>
    <row r="26" spans="1:10">
      <c r="A26" s="2">
        <v>25</v>
      </c>
      <c r="B26" s="3">
        <v>40933</v>
      </c>
      <c r="C26" s="2">
        <v>711</v>
      </c>
      <c r="D26" s="2">
        <v>1648</v>
      </c>
      <c r="E26" s="2">
        <v>0</v>
      </c>
      <c r="F26" s="2">
        <f t="shared" si="1"/>
        <v>7</v>
      </c>
      <c r="G26" s="2">
        <f t="shared" si="0"/>
        <v>17</v>
      </c>
      <c r="H26" s="2" t="str">
        <f t="shared" si="2"/>
        <v>11</v>
      </c>
      <c r="I26" s="2">
        <f t="shared" si="3"/>
        <v>7</v>
      </c>
      <c r="J26" s="2">
        <f t="shared" si="4"/>
        <v>51</v>
      </c>
    </row>
    <row r="27" spans="1:10">
      <c r="A27" s="2">
        <v>26</v>
      </c>
      <c r="B27" s="3">
        <v>40934</v>
      </c>
      <c r="C27" s="2">
        <v>710</v>
      </c>
      <c r="D27" s="2">
        <v>1649</v>
      </c>
      <c r="E27" s="2">
        <v>0</v>
      </c>
      <c r="F27" s="2">
        <f t="shared" si="1"/>
        <v>7</v>
      </c>
      <c r="G27" s="2">
        <f t="shared" si="0"/>
        <v>17</v>
      </c>
      <c r="H27" s="2" t="str">
        <f t="shared" si="2"/>
        <v>10</v>
      </c>
      <c r="I27" s="2">
        <f t="shared" si="3"/>
        <v>7</v>
      </c>
      <c r="J27" s="2">
        <f t="shared" si="4"/>
        <v>50</v>
      </c>
    </row>
    <row r="28" spans="1:10">
      <c r="A28" s="2">
        <v>27</v>
      </c>
      <c r="B28" s="3">
        <v>40935</v>
      </c>
      <c r="C28" s="2">
        <v>709</v>
      </c>
      <c r="D28" s="2">
        <v>1650</v>
      </c>
      <c r="E28" s="2">
        <v>0</v>
      </c>
      <c r="F28" s="2">
        <f t="shared" si="1"/>
        <v>7</v>
      </c>
      <c r="G28" s="2">
        <f t="shared" si="0"/>
        <v>17</v>
      </c>
      <c r="H28" s="2" t="str">
        <f t="shared" si="2"/>
        <v>09</v>
      </c>
      <c r="I28" s="2">
        <f t="shared" si="3"/>
        <v>7</v>
      </c>
      <c r="J28" s="2">
        <f t="shared" si="4"/>
        <v>49</v>
      </c>
    </row>
    <row r="29" spans="1:10">
      <c r="A29" s="2">
        <v>28</v>
      </c>
      <c r="B29" s="3">
        <v>40936</v>
      </c>
      <c r="C29" s="2">
        <v>708</v>
      </c>
      <c r="D29" s="2">
        <v>1652</v>
      </c>
      <c r="E29" s="2">
        <v>0</v>
      </c>
      <c r="F29" s="2">
        <f t="shared" si="1"/>
        <v>7</v>
      </c>
      <c r="G29" s="2">
        <f t="shared" si="0"/>
        <v>17</v>
      </c>
      <c r="H29" s="2" t="str">
        <f t="shared" si="2"/>
        <v>08</v>
      </c>
      <c r="I29" s="2">
        <f t="shared" si="3"/>
        <v>7</v>
      </c>
      <c r="J29" s="2">
        <f t="shared" si="4"/>
        <v>48</v>
      </c>
    </row>
    <row r="30" spans="1:10">
      <c r="A30" s="2">
        <v>29</v>
      </c>
      <c r="B30" s="3">
        <v>40937</v>
      </c>
      <c r="C30" s="2">
        <v>707</v>
      </c>
      <c r="D30" s="2">
        <v>1653</v>
      </c>
      <c r="E30" s="2">
        <v>0</v>
      </c>
      <c r="F30" s="2">
        <f t="shared" si="1"/>
        <v>7</v>
      </c>
      <c r="G30" s="2">
        <f t="shared" si="0"/>
        <v>17</v>
      </c>
      <c r="H30" s="2" t="str">
        <f t="shared" si="2"/>
        <v>07</v>
      </c>
      <c r="I30" s="2">
        <f t="shared" si="3"/>
        <v>7</v>
      </c>
      <c r="J30" s="2">
        <f t="shared" si="4"/>
        <v>47</v>
      </c>
    </row>
    <row r="31" spans="1:10">
      <c r="A31" s="2">
        <v>30</v>
      </c>
      <c r="B31" s="3">
        <v>40938</v>
      </c>
      <c r="C31" s="2">
        <v>706</v>
      </c>
      <c r="D31" s="2">
        <v>1654</v>
      </c>
      <c r="E31" s="2">
        <v>0</v>
      </c>
      <c r="F31" s="2">
        <f t="shared" si="1"/>
        <v>7</v>
      </c>
      <c r="G31" s="2">
        <f t="shared" si="0"/>
        <v>17</v>
      </c>
      <c r="H31" s="2" t="str">
        <f t="shared" si="2"/>
        <v>06</v>
      </c>
      <c r="I31" s="2">
        <f t="shared" si="3"/>
        <v>7</v>
      </c>
      <c r="J31" s="2">
        <f t="shared" si="4"/>
        <v>46</v>
      </c>
    </row>
    <row r="32" spans="1:10">
      <c r="A32" s="2">
        <v>31</v>
      </c>
      <c r="B32" s="3">
        <v>40939</v>
      </c>
      <c r="C32" s="2">
        <v>705</v>
      </c>
      <c r="D32" s="2">
        <v>1656</v>
      </c>
      <c r="E32" s="2">
        <v>0</v>
      </c>
      <c r="F32" s="2">
        <f t="shared" si="1"/>
        <v>7</v>
      </c>
      <c r="G32" s="2">
        <f t="shared" si="0"/>
        <v>17</v>
      </c>
      <c r="H32" s="2" t="str">
        <f t="shared" si="2"/>
        <v>05</v>
      </c>
      <c r="I32" s="2">
        <f t="shared" si="3"/>
        <v>7</v>
      </c>
      <c r="J32" s="2">
        <f t="shared" si="4"/>
        <v>45</v>
      </c>
    </row>
    <row r="33" spans="1:10">
      <c r="A33" s="2">
        <v>32</v>
      </c>
      <c r="B33" s="3">
        <v>40940</v>
      </c>
      <c r="C33" s="2">
        <v>704</v>
      </c>
      <c r="D33" s="2">
        <v>1657</v>
      </c>
      <c r="E33" s="2">
        <v>0</v>
      </c>
      <c r="F33" s="2">
        <f t="shared" si="1"/>
        <v>7</v>
      </c>
      <c r="G33" s="2">
        <f t="shared" si="0"/>
        <v>17</v>
      </c>
      <c r="H33" s="2" t="str">
        <f t="shared" si="2"/>
        <v>04</v>
      </c>
      <c r="I33" s="2">
        <f t="shared" si="3"/>
        <v>7</v>
      </c>
      <c r="J33" s="2">
        <f t="shared" si="4"/>
        <v>44</v>
      </c>
    </row>
    <row r="34" spans="1:10">
      <c r="A34" s="2">
        <v>33</v>
      </c>
      <c r="B34" s="3">
        <v>40941</v>
      </c>
      <c r="C34" s="2">
        <v>703</v>
      </c>
      <c r="D34" s="2">
        <v>1658</v>
      </c>
      <c r="E34" s="2">
        <v>0</v>
      </c>
      <c r="F34" s="2">
        <f t="shared" si="1"/>
        <v>7</v>
      </c>
      <c r="G34" s="2">
        <f t="shared" si="0"/>
        <v>17</v>
      </c>
      <c r="H34" s="2" t="str">
        <f t="shared" si="2"/>
        <v>03</v>
      </c>
      <c r="I34" s="2">
        <f t="shared" si="3"/>
        <v>7</v>
      </c>
      <c r="J34" s="2">
        <f t="shared" si="4"/>
        <v>43</v>
      </c>
    </row>
    <row r="35" spans="1:10">
      <c r="A35" s="2">
        <v>34</v>
      </c>
      <c r="B35" s="3">
        <v>40942</v>
      </c>
      <c r="C35" s="2">
        <v>702</v>
      </c>
      <c r="D35" s="2">
        <v>1700</v>
      </c>
      <c r="E35" s="2">
        <v>0</v>
      </c>
      <c r="F35" s="2">
        <f t="shared" si="1"/>
        <v>7</v>
      </c>
      <c r="G35" s="2">
        <f t="shared" si="0"/>
        <v>17</v>
      </c>
      <c r="H35" s="2" t="str">
        <f t="shared" si="2"/>
        <v>02</v>
      </c>
      <c r="I35" s="2">
        <f t="shared" si="3"/>
        <v>7</v>
      </c>
      <c r="J35" s="2">
        <f t="shared" si="4"/>
        <v>42</v>
      </c>
    </row>
    <row r="36" spans="1:10">
      <c r="A36" s="2">
        <v>35</v>
      </c>
      <c r="B36" s="3">
        <v>40943</v>
      </c>
      <c r="C36" s="2">
        <v>701</v>
      </c>
      <c r="D36" s="2">
        <v>1701</v>
      </c>
      <c r="E36" s="2">
        <v>0</v>
      </c>
      <c r="F36" s="2">
        <f t="shared" si="1"/>
        <v>7</v>
      </c>
      <c r="G36" s="2">
        <f t="shared" si="0"/>
        <v>17</v>
      </c>
      <c r="H36" s="2" t="str">
        <f t="shared" si="2"/>
        <v>01</v>
      </c>
      <c r="I36" s="2">
        <f t="shared" si="3"/>
        <v>7</v>
      </c>
      <c r="J36" s="2">
        <f t="shared" si="4"/>
        <v>41</v>
      </c>
    </row>
    <row r="37" spans="1:10">
      <c r="A37" s="2">
        <v>36</v>
      </c>
      <c r="B37" s="3">
        <v>40944</v>
      </c>
      <c r="C37" s="2">
        <v>700</v>
      </c>
      <c r="D37" s="2">
        <v>1702</v>
      </c>
      <c r="E37" s="2">
        <v>0</v>
      </c>
      <c r="F37" s="2">
        <f t="shared" si="1"/>
        <v>7</v>
      </c>
      <c r="G37" s="2">
        <f t="shared" si="0"/>
        <v>17</v>
      </c>
      <c r="H37" s="2" t="str">
        <f t="shared" si="2"/>
        <v>00</v>
      </c>
      <c r="I37" s="2">
        <f t="shared" si="3"/>
        <v>7</v>
      </c>
      <c r="J37" s="2">
        <f t="shared" si="4"/>
        <v>40</v>
      </c>
    </row>
    <row r="38" spans="1:10">
      <c r="A38" s="2">
        <v>37</v>
      </c>
      <c r="B38" s="3">
        <v>40945</v>
      </c>
      <c r="C38" s="2">
        <v>658</v>
      </c>
      <c r="D38" s="2">
        <v>1704</v>
      </c>
      <c r="E38" s="2">
        <v>0</v>
      </c>
      <c r="F38" s="2">
        <f t="shared" si="1"/>
        <v>7</v>
      </c>
      <c r="G38" s="2">
        <f t="shared" si="0"/>
        <v>17</v>
      </c>
      <c r="H38" s="2" t="str">
        <f t="shared" si="2"/>
        <v>58</v>
      </c>
      <c r="I38" s="2">
        <f t="shared" si="3"/>
        <v>8</v>
      </c>
      <c r="J38" s="2">
        <f t="shared" si="4"/>
        <v>38</v>
      </c>
    </row>
    <row r="39" spans="1:10">
      <c r="A39" s="2">
        <v>38</v>
      </c>
      <c r="B39" s="3">
        <v>40946</v>
      </c>
      <c r="C39" s="2">
        <v>657</v>
      </c>
      <c r="D39" s="2">
        <v>1705</v>
      </c>
      <c r="E39" s="2">
        <v>0</v>
      </c>
      <c r="F39" s="2">
        <f t="shared" si="1"/>
        <v>7</v>
      </c>
      <c r="G39" s="2">
        <f t="shared" si="0"/>
        <v>17</v>
      </c>
      <c r="H39" s="2" t="str">
        <f t="shared" si="2"/>
        <v>57</v>
      </c>
      <c r="I39" s="2">
        <f t="shared" si="3"/>
        <v>8</v>
      </c>
      <c r="J39" s="2">
        <f t="shared" si="4"/>
        <v>37</v>
      </c>
    </row>
    <row r="40" spans="1:10">
      <c r="A40" s="2">
        <v>39</v>
      </c>
      <c r="B40" s="3">
        <v>40947</v>
      </c>
      <c r="C40" s="2">
        <v>656</v>
      </c>
      <c r="D40" s="2">
        <v>1707</v>
      </c>
      <c r="E40" s="2">
        <v>0</v>
      </c>
      <c r="F40" s="2">
        <f t="shared" si="1"/>
        <v>7</v>
      </c>
      <c r="G40" s="2">
        <f t="shared" si="0"/>
        <v>17</v>
      </c>
      <c r="H40" s="2" t="str">
        <f t="shared" si="2"/>
        <v>56</v>
      </c>
      <c r="I40" s="2">
        <f t="shared" si="3"/>
        <v>8</v>
      </c>
      <c r="J40" s="2">
        <f t="shared" si="4"/>
        <v>36</v>
      </c>
    </row>
    <row r="41" spans="1:10">
      <c r="A41" s="2">
        <v>40</v>
      </c>
      <c r="B41" s="3">
        <v>40948</v>
      </c>
      <c r="C41" s="2">
        <v>655</v>
      </c>
      <c r="D41" s="2">
        <v>1708</v>
      </c>
      <c r="E41" s="2">
        <v>0</v>
      </c>
      <c r="F41" s="2">
        <f t="shared" si="1"/>
        <v>7</v>
      </c>
      <c r="G41" s="2">
        <f t="shared" si="0"/>
        <v>17</v>
      </c>
      <c r="H41" s="2" t="str">
        <f t="shared" si="2"/>
        <v>55</v>
      </c>
      <c r="I41" s="2">
        <f t="shared" si="3"/>
        <v>8</v>
      </c>
      <c r="J41" s="2">
        <f t="shared" si="4"/>
        <v>35</v>
      </c>
    </row>
    <row r="42" spans="1:10">
      <c r="A42" s="2">
        <v>41</v>
      </c>
      <c r="B42" s="3">
        <v>40949</v>
      </c>
      <c r="C42" s="2">
        <v>653</v>
      </c>
      <c r="D42" s="2">
        <v>1709</v>
      </c>
      <c r="E42" s="2">
        <v>0</v>
      </c>
      <c r="F42" s="2">
        <f t="shared" si="1"/>
        <v>7</v>
      </c>
      <c r="G42" s="2">
        <f t="shared" si="0"/>
        <v>17</v>
      </c>
      <c r="H42" s="2" t="str">
        <f t="shared" si="2"/>
        <v>53</v>
      </c>
      <c r="I42" s="2">
        <f t="shared" si="3"/>
        <v>8</v>
      </c>
      <c r="J42" s="2">
        <f t="shared" si="4"/>
        <v>33</v>
      </c>
    </row>
    <row r="43" spans="1:10">
      <c r="A43" s="2">
        <v>42</v>
      </c>
      <c r="B43" s="3">
        <v>40950</v>
      </c>
      <c r="C43" s="2">
        <v>652</v>
      </c>
      <c r="D43" s="2">
        <v>1711</v>
      </c>
      <c r="E43" s="2">
        <v>0</v>
      </c>
      <c r="F43" s="2">
        <f t="shared" si="1"/>
        <v>7</v>
      </c>
      <c r="G43" s="2">
        <f t="shared" si="0"/>
        <v>17</v>
      </c>
      <c r="H43" s="2" t="str">
        <f t="shared" si="2"/>
        <v>52</v>
      </c>
      <c r="I43" s="2">
        <f t="shared" si="3"/>
        <v>8</v>
      </c>
      <c r="J43" s="2">
        <f t="shared" si="4"/>
        <v>32</v>
      </c>
    </row>
    <row r="44" spans="1:10">
      <c r="A44" s="2">
        <v>43</v>
      </c>
      <c r="B44" s="3">
        <v>40951</v>
      </c>
      <c r="C44" s="2">
        <v>651</v>
      </c>
      <c r="D44" s="2">
        <v>1712</v>
      </c>
      <c r="E44" s="2">
        <v>0</v>
      </c>
      <c r="F44" s="2">
        <f t="shared" si="1"/>
        <v>7</v>
      </c>
      <c r="G44" s="2">
        <f t="shared" si="0"/>
        <v>17</v>
      </c>
      <c r="H44" s="2" t="str">
        <f t="shared" si="2"/>
        <v>51</v>
      </c>
      <c r="I44" s="2">
        <f t="shared" si="3"/>
        <v>8</v>
      </c>
      <c r="J44" s="2">
        <f t="shared" si="4"/>
        <v>31</v>
      </c>
    </row>
    <row r="45" spans="1:10">
      <c r="A45" s="2">
        <v>44</v>
      </c>
      <c r="B45" s="3">
        <v>40952</v>
      </c>
      <c r="C45" s="2">
        <v>649</v>
      </c>
      <c r="D45" s="2">
        <v>1713</v>
      </c>
      <c r="E45" s="2">
        <v>0</v>
      </c>
      <c r="F45" s="2">
        <f t="shared" si="1"/>
        <v>7</v>
      </c>
      <c r="G45" s="2">
        <f t="shared" si="0"/>
        <v>17</v>
      </c>
      <c r="H45" s="2" t="str">
        <f t="shared" si="2"/>
        <v>49</v>
      </c>
      <c r="I45" s="2">
        <f t="shared" si="3"/>
        <v>8</v>
      </c>
      <c r="J45" s="2">
        <f t="shared" si="4"/>
        <v>29</v>
      </c>
    </row>
    <row r="46" spans="1:10">
      <c r="A46" s="2">
        <v>45</v>
      </c>
      <c r="B46" s="3">
        <v>40953</v>
      </c>
      <c r="C46" s="2">
        <v>648</v>
      </c>
      <c r="D46" s="2">
        <v>1715</v>
      </c>
      <c r="E46" s="2">
        <v>0</v>
      </c>
      <c r="F46" s="2">
        <f t="shared" si="1"/>
        <v>7</v>
      </c>
      <c r="G46" s="2">
        <f t="shared" si="0"/>
        <v>17</v>
      </c>
      <c r="H46" s="2" t="str">
        <f t="shared" si="2"/>
        <v>48</v>
      </c>
      <c r="I46" s="2">
        <f t="shared" si="3"/>
        <v>8</v>
      </c>
      <c r="J46" s="2">
        <f t="shared" si="4"/>
        <v>28</v>
      </c>
    </row>
    <row r="47" spans="1:10">
      <c r="A47" s="2">
        <v>46</v>
      </c>
      <c r="B47" s="3">
        <v>40954</v>
      </c>
      <c r="C47" s="2">
        <v>646</v>
      </c>
      <c r="D47" s="2">
        <v>1716</v>
      </c>
      <c r="E47" s="2">
        <v>0</v>
      </c>
      <c r="F47" s="2">
        <f t="shared" si="1"/>
        <v>7</v>
      </c>
      <c r="G47" s="2">
        <f t="shared" si="0"/>
        <v>17</v>
      </c>
      <c r="H47" s="2" t="str">
        <f t="shared" si="2"/>
        <v>46</v>
      </c>
      <c r="I47" s="2">
        <f t="shared" si="3"/>
        <v>8</v>
      </c>
      <c r="J47" s="2">
        <f t="shared" si="4"/>
        <v>26</v>
      </c>
    </row>
    <row r="48" spans="1:10">
      <c r="A48" s="2">
        <v>47</v>
      </c>
      <c r="B48" s="3">
        <v>40955</v>
      </c>
      <c r="C48" s="2">
        <v>645</v>
      </c>
      <c r="D48" s="2">
        <v>1717</v>
      </c>
      <c r="E48" s="2">
        <v>0</v>
      </c>
      <c r="F48" s="2">
        <f t="shared" si="1"/>
        <v>7</v>
      </c>
      <c r="G48" s="2">
        <f t="shared" si="0"/>
        <v>17</v>
      </c>
      <c r="H48" s="2" t="str">
        <f t="shared" si="2"/>
        <v>45</v>
      </c>
      <c r="I48" s="2">
        <f t="shared" si="3"/>
        <v>8</v>
      </c>
      <c r="J48" s="2">
        <f t="shared" si="4"/>
        <v>25</v>
      </c>
    </row>
    <row r="49" spans="1:10">
      <c r="A49" s="2">
        <v>48</v>
      </c>
      <c r="B49" s="3">
        <v>40956</v>
      </c>
      <c r="C49" s="2">
        <v>643</v>
      </c>
      <c r="D49" s="2">
        <v>1719</v>
      </c>
      <c r="E49" s="2">
        <v>0</v>
      </c>
      <c r="F49" s="2">
        <f t="shared" si="1"/>
        <v>7</v>
      </c>
      <c r="G49" s="2">
        <f t="shared" si="0"/>
        <v>17</v>
      </c>
      <c r="H49" s="2" t="str">
        <f t="shared" si="2"/>
        <v>43</v>
      </c>
      <c r="I49" s="2">
        <f t="shared" si="3"/>
        <v>8</v>
      </c>
      <c r="J49" s="2">
        <f t="shared" si="4"/>
        <v>23</v>
      </c>
    </row>
    <row r="50" spans="1:10">
      <c r="A50" s="2">
        <v>49</v>
      </c>
      <c r="B50" s="3">
        <v>40957</v>
      </c>
      <c r="C50" s="2">
        <v>642</v>
      </c>
      <c r="D50" s="2">
        <v>1720</v>
      </c>
      <c r="E50" s="2">
        <v>0</v>
      </c>
      <c r="F50" s="2">
        <f t="shared" si="1"/>
        <v>7</v>
      </c>
      <c r="G50" s="2">
        <f t="shared" si="0"/>
        <v>17</v>
      </c>
      <c r="H50" s="2" t="str">
        <f t="shared" si="2"/>
        <v>42</v>
      </c>
      <c r="I50" s="2">
        <f t="shared" si="3"/>
        <v>8</v>
      </c>
      <c r="J50" s="2">
        <f t="shared" si="4"/>
        <v>22</v>
      </c>
    </row>
    <row r="51" spans="1:10">
      <c r="A51" s="2">
        <v>50</v>
      </c>
      <c r="B51" s="3">
        <v>40958</v>
      </c>
      <c r="C51" s="2">
        <v>640</v>
      </c>
      <c r="D51" s="2">
        <v>1722</v>
      </c>
      <c r="E51" s="2">
        <v>0</v>
      </c>
      <c r="F51" s="2">
        <f t="shared" si="1"/>
        <v>7</v>
      </c>
      <c r="G51" s="2">
        <f t="shared" si="0"/>
        <v>17</v>
      </c>
      <c r="H51" s="2" t="str">
        <f t="shared" si="2"/>
        <v>40</v>
      </c>
      <c r="I51" s="2">
        <f t="shared" si="3"/>
        <v>8</v>
      </c>
      <c r="J51" s="2">
        <f t="shared" si="4"/>
        <v>20</v>
      </c>
    </row>
    <row r="52" spans="1:10">
      <c r="A52" s="2">
        <v>51</v>
      </c>
      <c r="B52" s="3">
        <v>40959</v>
      </c>
      <c r="C52" s="2">
        <v>639</v>
      </c>
      <c r="D52" s="2">
        <v>1723</v>
      </c>
      <c r="E52" s="2">
        <v>0</v>
      </c>
      <c r="F52" s="2">
        <f t="shared" si="1"/>
        <v>7</v>
      </c>
      <c r="G52" s="2">
        <f t="shared" si="0"/>
        <v>17</v>
      </c>
      <c r="H52" s="2" t="str">
        <f t="shared" si="2"/>
        <v>39</v>
      </c>
      <c r="I52" s="2">
        <f t="shared" si="3"/>
        <v>8</v>
      </c>
      <c r="J52" s="2">
        <f t="shared" si="4"/>
        <v>19</v>
      </c>
    </row>
    <row r="53" spans="1:10">
      <c r="A53" s="2">
        <v>52</v>
      </c>
      <c r="B53" s="3">
        <v>40960</v>
      </c>
      <c r="C53" s="2">
        <v>637</v>
      </c>
      <c r="D53" s="2">
        <v>1724</v>
      </c>
      <c r="E53" s="2">
        <v>0</v>
      </c>
      <c r="F53" s="2">
        <f t="shared" si="1"/>
        <v>7</v>
      </c>
      <c r="G53" s="2">
        <f t="shared" si="0"/>
        <v>17</v>
      </c>
      <c r="H53" s="2" t="str">
        <f t="shared" si="2"/>
        <v>37</v>
      </c>
      <c r="I53" s="2">
        <f t="shared" si="3"/>
        <v>8</v>
      </c>
      <c r="J53" s="2">
        <f t="shared" si="4"/>
        <v>17</v>
      </c>
    </row>
    <row r="54" spans="1:10">
      <c r="A54" s="2">
        <v>53</v>
      </c>
      <c r="B54" s="3">
        <v>40961</v>
      </c>
      <c r="C54" s="2">
        <v>636</v>
      </c>
      <c r="D54" s="2">
        <v>1726</v>
      </c>
      <c r="E54" s="2">
        <v>0</v>
      </c>
      <c r="F54" s="2">
        <f t="shared" si="1"/>
        <v>7</v>
      </c>
      <c r="G54" s="2">
        <f t="shared" si="0"/>
        <v>17</v>
      </c>
      <c r="H54" s="2" t="str">
        <f t="shared" si="2"/>
        <v>36</v>
      </c>
      <c r="I54" s="2">
        <f t="shared" si="3"/>
        <v>8</v>
      </c>
      <c r="J54" s="2">
        <f t="shared" si="4"/>
        <v>16</v>
      </c>
    </row>
    <row r="55" spans="1:10">
      <c r="A55" s="2">
        <v>54</v>
      </c>
      <c r="B55" s="3">
        <v>40962</v>
      </c>
      <c r="C55" s="2">
        <v>634</v>
      </c>
      <c r="D55" s="2">
        <v>1727</v>
      </c>
      <c r="E55" s="2">
        <v>0</v>
      </c>
      <c r="F55" s="2">
        <f t="shared" si="1"/>
        <v>7</v>
      </c>
      <c r="G55" s="2">
        <f t="shared" si="0"/>
        <v>17</v>
      </c>
      <c r="H55" s="2" t="str">
        <f t="shared" si="2"/>
        <v>34</v>
      </c>
      <c r="I55" s="2">
        <f t="shared" si="3"/>
        <v>8</v>
      </c>
      <c r="J55" s="2">
        <f t="shared" si="4"/>
        <v>14</v>
      </c>
    </row>
    <row r="56" spans="1:10">
      <c r="A56" s="2">
        <v>55</v>
      </c>
      <c r="B56" s="3">
        <v>40963</v>
      </c>
      <c r="C56" s="2">
        <v>633</v>
      </c>
      <c r="D56" s="2">
        <v>1728</v>
      </c>
      <c r="E56" s="2">
        <v>0</v>
      </c>
      <c r="F56" s="2">
        <f t="shared" si="1"/>
        <v>7</v>
      </c>
      <c r="G56" s="2">
        <f t="shared" si="0"/>
        <v>17</v>
      </c>
      <c r="H56" s="2" t="str">
        <f t="shared" si="2"/>
        <v>33</v>
      </c>
      <c r="I56" s="2">
        <f t="shared" si="3"/>
        <v>8</v>
      </c>
      <c r="J56" s="2">
        <f t="shared" si="4"/>
        <v>13</v>
      </c>
    </row>
    <row r="57" spans="1:10">
      <c r="A57" s="2">
        <v>56</v>
      </c>
      <c r="B57" s="3">
        <v>40964</v>
      </c>
      <c r="C57" s="2">
        <v>631</v>
      </c>
      <c r="D57" s="2">
        <v>1729</v>
      </c>
      <c r="E57" s="2">
        <v>0</v>
      </c>
      <c r="F57" s="2">
        <f t="shared" si="1"/>
        <v>7</v>
      </c>
      <c r="G57" s="2">
        <f t="shared" si="0"/>
        <v>17</v>
      </c>
      <c r="H57" s="2" t="str">
        <f t="shared" si="2"/>
        <v>31</v>
      </c>
      <c r="I57" s="2">
        <f t="shared" si="3"/>
        <v>8</v>
      </c>
      <c r="J57" s="2">
        <f t="shared" si="4"/>
        <v>11</v>
      </c>
    </row>
    <row r="58" spans="1:10">
      <c r="A58" s="2">
        <v>57</v>
      </c>
      <c r="B58" s="3">
        <v>40965</v>
      </c>
      <c r="C58" s="2">
        <v>629</v>
      </c>
      <c r="D58" s="2">
        <v>1731</v>
      </c>
      <c r="E58" s="2">
        <v>0</v>
      </c>
      <c r="F58" s="2">
        <f t="shared" si="1"/>
        <v>6</v>
      </c>
      <c r="G58" s="2">
        <f t="shared" si="0"/>
        <v>18</v>
      </c>
      <c r="H58" s="2" t="str">
        <f t="shared" si="2"/>
        <v>29</v>
      </c>
      <c r="I58" s="2">
        <f t="shared" si="3"/>
        <v>7</v>
      </c>
      <c r="J58" s="2">
        <f t="shared" si="4"/>
        <v>9</v>
      </c>
    </row>
    <row r="59" spans="1:10">
      <c r="A59" s="2">
        <v>58</v>
      </c>
      <c r="B59" s="3">
        <v>40966</v>
      </c>
      <c r="C59" s="2">
        <v>628</v>
      </c>
      <c r="D59" s="2">
        <v>1732</v>
      </c>
      <c r="E59" s="2">
        <v>0</v>
      </c>
      <c r="F59" s="2">
        <f t="shared" si="1"/>
        <v>6</v>
      </c>
      <c r="G59" s="2">
        <f t="shared" si="0"/>
        <v>18</v>
      </c>
      <c r="H59" s="2" t="str">
        <f t="shared" si="2"/>
        <v>28</v>
      </c>
      <c r="I59" s="2">
        <f t="shared" si="3"/>
        <v>7</v>
      </c>
      <c r="J59" s="2">
        <f t="shared" si="4"/>
        <v>8</v>
      </c>
    </row>
    <row r="60" spans="1:10">
      <c r="A60" s="2">
        <v>59</v>
      </c>
      <c r="B60" s="3">
        <v>40967</v>
      </c>
      <c r="C60" s="2">
        <v>626</v>
      </c>
      <c r="D60" s="2">
        <v>1733</v>
      </c>
      <c r="E60" s="2">
        <v>0</v>
      </c>
      <c r="F60" s="2">
        <f t="shared" si="1"/>
        <v>6</v>
      </c>
      <c r="G60" s="2">
        <f t="shared" si="0"/>
        <v>18</v>
      </c>
      <c r="H60" s="2" t="str">
        <f t="shared" si="2"/>
        <v>26</v>
      </c>
      <c r="I60" s="2">
        <f t="shared" si="3"/>
        <v>7</v>
      </c>
      <c r="J60" s="2">
        <f t="shared" si="4"/>
        <v>6</v>
      </c>
    </row>
    <row r="61" spans="1:10">
      <c r="A61" s="2">
        <v>60</v>
      </c>
      <c r="B61" s="3">
        <v>40968</v>
      </c>
      <c r="C61" s="2">
        <v>624</v>
      </c>
      <c r="D61" s="2">
        <v>1735</v>
      </c>
      <c r="E61" s="2">
        <v>0</v>
      </c>
      <c r="F61" s="2">
        <f t="shared" si="1"/>
        <v>6</v>
      </c>
      <c r="G61" s="2">
        <f t="shared" si="0"/>
        <v>18</v>
      </c>
      <c r="H61" s="2" t="str">
        <f t="shared" si="2"/>
        <v>24</v>
      </c>
      <c r="I61" s="2">
        <f t="shared" si="3"/>
        <v>7</v>
      </c>
      <c r="J61" s="2">
        <f t="shared" si="4"/>
        <v>4</v>
      </c>
    </row>
    <row r="62" spans="1:10">
      <c r="A62" s="2">
        <v>61</v>
      </c>
      <c r="B62" s="3">
        <v>40969</v>
      </c>
      <c r="C62" s="2">
        <v>623</v>
      </c>
      <c r="D62" s="2">
        <v>1736</v>
      </c>
      <c r="E62" s="2">
        <v>0</v>
      </c>
      <c r="F62" s="2">
        <f t="shared" si="1"/>
        <v>6</v>
      </c>
      <c r="G62" s="2">
        <f t="shared" si="0"/>
        <v>18</v>
      </c>
      <c r="H62" s="2" t="str">
        <f t="shared" si="2"/>
        <v>23</v>
      </c>
      <c r="I62" s="2">
        <f t="shared" si="3"/>
        <v>7</v>
      </c>
      <c r="J62" s="2">
        <f t="shared" si="4"/>
        <v>3</v>
      </c>
    </row>
    <row r="63" spans="1:10">
      <c r="A63" s="2">
        <v>62</v>
      </c>
      <c r="B63" s="3">
        <v>40970</v>
      </c>
      <c r="C63" s="2">
        <v>621</v>
      </c>
      <c r="D63" s="2">
        <v>1737</v>
      </c>
      <c r="E63" s="2">
        <v>0</v>
      </c>
      <c r="F63" s="2">
        <f t="shared" si="1"/>
        <v>6</v>
      </c>
      <c r="G63" s="2">
        <f t="shared" si="0"/>
        <v>18</v>
      </c>
      <c r="H63" s="2" t="str">
        <f t="shared" si="2"/>
        <v>21</v>
      </c>
      <c r="I63" s="2">
        <f t="shared" si="3"/>
        <v>7</v>
      </c>
      <c r="J63" s="2">
        <f t="shared" si="4"/>
        <v>1</v>
      </c>
    </row>
    <row r="64" spans="1:10">
      <c r="A64" s="2">
        <v>63</v>
      </c>
      <c r="B64" s="3">
        <v>40971</v>
      </c>
      <c r="C64" s="2">
        <v>619</v>
      </c>
      <c r="D64" s="2">
        <v>1739</v>
      </c>
      <c r="E64" s="2">
        <v>0</v>
      </c>
      <c r="F64" s="2">
        <f t="shared" si="1"/>
        <v>6</v>
      </c>
      <c r="G64" s="2">
        <f t="shared" si="0"/>
        <v>18</v>
      </c>
      <c r="H64" s="2" t="str">
        <f t="shared" si="2"/>
        <v>19</v>
      </c>
      <c r="I64" s="2">
        <f t="shared" si="3"/>
        <v>6</v>
      </c>
      <c r="J64" s="2">
        <f t="shared" si="4"/>
        <v>59</v>
      </c>
    </row>
    <row r="65" spans="1:10">
      <c r="A65" s="2">
        <v>64</v>
      </c>
      <c r="B65" s="3">
        <v>40972</v>
      </c>
      <c r="C65" s="2">
        <v>618</v>
      </c>
      <c r="D65" s="2">
        <v>1740</v>
      </c>
      <c r="E65" s="2">
        <v>0</v>
      </c>
      <c r="F65" s="2">
        <f t="shared" si="1"/>
        <v>6</v>
      </c>
      <c r="G65" s="2">
        <f t="shared" si="0"/>
        <v>18</v>
      </c>
      <c r="H65" s="2" t="str">
        <f t="shared" si="2"/>
        <v>18</v>
      </c>
      <c r="I65" s="2">
        <f t="shared" si="3"/>
        <v>6</v>
      </c>
      <c r="J65" s="2">
        <f t="shared" si="4"/>
        <v>58</v>
      </c>
    </row>
    <row r="66" spans="1:10">
      <c r="A66" s="2">
        <v>65</v>
      </c>
      <c r="B66" s="3">
        <v>40973</v>
      </c>
      <c r="C66" s="2">
        <v>616</v>
      </c>
      <c r="D66" s="2">
        <v>1741</v>
      </c>
      <c r="E66" s="2">
        <v>0</v>
      </c>
      <c r="F66" s="2">
        <f t="shared" si="1"/>
        <v>6</v>
      </c>
      <c r="G66" s="2">
        <f t="shared" ref="G66:G129" si="5">ROUND(INT(D66/100)+RIGHT(D66,2)/60,0)</f>
        <v>18</v>
      </c>
      <c r="H66" s="2" t="str">
        <f t="shared" si="2"/>
        <v>16</v>
      </c>
      <c r="I66" s="2">
        <f t="shared" si="3"/>
        <v>6</v>
      </c>
      <c r="J66" s="2">
        <f t="shared" si="4"/>
        <v>56</v>
      </c>
    </row>
    <row r="67" spans="1:10">
      <c r="A67" s="2">
        <v>66</v>
      </c>
      <c r="B67" s="3">
        <v>40974</v>
      </c>
      <c r="C67" s="2">
        <v>614</v>
      </c>
      <c r="D67" s="2">
        <v>1742</v>
      </c>
      <c r="E67" s="2">
        <v>0</v>
      </c>
      <c r="F67" s="2">
        <f t="shared" ref="F67:F130" si="6">ROUND(INT(C67/100)+RIGHT(C67,2)/60,0)+E67</f>
        <v>6</v>
      </c>
      <c r="G67" s="2">
        <f t="shared" si="5"/>
        <v>18</v>
      </c>
      <c r="H67" s="2" t="str">
        <f t="shared" ref="H67:H130" si="7">RIGHT(C67,2)</f>
        <v>14</v>
      </c>
      <c r="I67" s="2">
        <f t="shared" ref="I67:I130" si="8">INT(($F67*60+$H67+$L$1)/60)</f>
        <v>6</v>
      </c>
      <c r="J67" s="2">
        <f t="shared" ref="J67:J130" si="9">$F67*60+$H67+$L$1-I67*60</f>
        <v>54</v>
      </c>
    </row>
    <row r="68" spans="1:10">
      <c r="A68" s="2">
        <v>67</v>
      </c>
      <c r="B68" s="3">
        <v>40975</v>
      </c>
      <c r="C68" s="2">
        <v>612</v>
      </c>
      <c r="D68" s="2">
        <v>1744</v>
      </c>
      <c r="E68" s="2">
        <v>0</v>
      </c>
      <c r="F68" s="2">
        <f t="shared" si="6"/>
        <v>6</v>
      </c>
      <c r="G68" s="2">
        <f t="shared" si="5"/>
        <v>18</v>
      </c>
      <c r="H68" s="2" t="str">
        <f t="shared" si="7"/>
        <v>12</v>
      </c>
      <c r="I68" s="2">
        <f t="shared" si="8"/>
        <v>6</v>
      </c>
      <c r="J68" s="2">
        <f t="shared" si="9"/>
        <v>52</v>
      </c>
    </row>
    <row r="69" spans="1:10">
      <c r="A69" s="2">
        <v>68</v>
      </c>
      <c r="B69" s="3">
        <v>40976</v>
      </c>
      <c r="C69" s="2">
        <v>611</v>
      </c>
      <c r="D69" s="2">
        <v>1745</v>
      </c>
      <c r="E69" s="2">
        <v>0</v>
      </c>
      <c r="F69" s="2">
        <f t="shared" si="6"/>
        <v>6</v>
      </c>
      <c r="G69" s="2">
        <f t="shared" si="5"/>
        <v>18</v>
      </c>
      <c r="H69" s="2" t="str">
        <f t="shared" si="7"/>
        <v>11</v>
      </c>
      <c r="I69" s="2">
        <f t="shared" si="8"/>
        <v>6</v>
      </c>
      <c r="J69" s="2">
        <f t="shared" si="9"/>
        <v>51</v>
      </c>
    </row>
    <row r="70" spans="1:10">
      <c r="A70" s="2">
        <v>69</v>
      </c>
      <c r="B70" s="3">
        <v>40977</v>
      </c>
      <c r="C70" s="2">
        <v>609</v>
      </c>
      <c r="D70" s="2">
        <v>1746</v>
      </c>
      <c r="E70" s="2">
        <v>0</v>
      </c>
      <c r="F70" s="2">
        <f t="shared" si="6"/>
        <v>6</v>
      </c>
      <c r="G70" s="2">
        <f t="shared" si="5"/>
        <v>18</v>
      </c>
      <c r="H70" s="2" t="str">
        <f t="shared" si="7"/>
        <v>09</v>
      </c>
      <c r="I70" s="2">
        <f t="shared" si="8"/>
        <v>6</v>
      </c>
      <c r="J70" s="2">
        <f t="shared" si="9"/>
        <v>49</v>
      </c>
    </row>
    <row r="71" spans="1:10">
      <c r="A71" s="2">
        <v>70</v>
      </c>
      <c r="B71" s="3">
        <v>40978</v>
      </c>
      <c r="C71" s="2">
        <v>607</v>
      </c>
      <c r="D71" s="2">
        <v>1747</v>
      </c>
      <c r="E71" s="2">
        <v>0</v>
      </c>
      <c r="F71" s="2">
        <f t="shared" si="6"/>
        <v>6</v>
      </c>
      <c r="G71" s="2">
        <f t="shared" si="5"/>
        <v>18</v>
      </c>
      <c r="H71" s="2" t="str">
        <f t="shared" si="7"/>
        <v>07</v>
      </c>
      <c r="I71" s="2">
        <f t="shared" si="8"/>
        <v>6</v>
      </c>
      <c r="J71" s="2">
        <f t="shared" si="9"/>
        <v>47</v>
      </c>
    </row>
    <row r="72" spans="1:10">
      <c r="A72" s="2">
        <v>71</v>
      </c>
      <c r="B72" s="3">
        <v>40979</v>
      </c>
      <c r="C72" s="2">
        <v>605</v>
      </c>
      <c r="D72" s="2">
        <v>1749</v>
      </c>
      <c r="E72" s="2">
        <v>0</v>
      </c>
      <c r="F72" s="2">
        <f t="shared" si="6"/>
        <v>6</v>
      </c>
      <c r="G72" s="2">
        <f t="shared" si="5"/>
        <v>18</v>
      </c>
      <c r="H72" s="2" t="str">
        <f t="shared" si="7"/>
        <v>05</v>
      </c>
      <c r="I72" s="2">
        <f t="shared" si="8"/>
        <v>6</v>
      </c>
      <c r="J72" s="2">
        <f t="shared" si="9"/>
        <v>45</v>
      </c>
    </row>
    <row r="73" spans="1:10">
      <c r="A73" s="2">
        <v>72</v>
      </c>
      <c r="B73" s="3">
        <v>40980</v>
      </c>
      <c r="C73" s="2">
        <v>604</v>
      </c>
      <c r="D73" s="2">
        <v>1750</v>
      </c>
      <c r="E73" s="2">
        <v>0</v>
      </c>
      <c r="F73" s="2">
        <f t="shared" si="6"/>
        <v>6</v>
      </c>
      <c r="G73" s="2">
        <f t="shared" si="5"/>
        <v>18</v>
      </c>
      <c r="H73" s="2" t="str">
        <f t="shared" si="7"/>
        <v>04</v>
      </c>
      <c r="I73" s="2">
        <f t="shared" si="8"/>
        <v>6</v>
      </c>
      <c r="J73" s="2">
        <f t="shared" si="9"/>
        <v>44</v>
      </c>
    </row>
    <row r="74" spans="1:10">
      <c r="A74" s="2">
        <v>73</v>
      </c>
      <c r="B74" s="3">
        <v>40981</v>
      </c>
      <c r="C74" s="2">
        <v>602</v>
      </c>
      <c r="D74" s="2">
        <v>1751</v>
      </c>
      <c r="E74" s="2">
        <v>1</v>
      </c>
      <c r="F74" s="2">
        <f t="shared" si="6"/>
        <v>7</v>
      </c>
      <c r="G74" s="2">
        <f t="shared" si="5"/>
        <v>18</v>
      </c>
      <c r="H74" s="2" t="str">
        <f t="shared" si="7"/>
        <v>02</v>
      </c>
      <c r="I74" s="2">
        <f t="shared" si="8"/>
        <v>7</v>
      </c>
      <c r="J74" s="2">
        <f t="shared" si="9"/>
        <v>42</v>
      </c>
    </row>
    <row r="75" spans="1:10">
      <c r="A75" s="2">
        <v>74</v>
      </c>
      <c r="B75" s="3">
        <v>40982</v>
      </c>
      <c r="C75" s="2">
        <v>600</v>
      </c>
      <c r="D75" s="2">
        <v>1752</v>
      </c>
      <c r="E75" s="2">
        <v>1</v>
      </c>
      <c r="F75" s="2">
        <f t="shared" si="6"/>
        <v>7</v>
      </c>
      <c r="G75" s="2">
        <f t="shared" si="5"/>
        <v>18</v>
      </c>
      <c r="H75" s="2" t="str">
        <f t="shared" si="7"/>
        <v>00</v>
      </c>
      <c r="I75" s="2">
        <f t="shared" si="8"/>
        <v>7</v>
      </c>
      <c r="J75" s="2">
        <f t="shared" si="9"/>
        <v>40</v>
      </c>
    </row>
    <row r="76" spans="1:10">
      <c r="A76" s="2">
        <v>75</v>
      </c>
      <c r="B76" s="3">
        <v>40983</v>
      </c>
      <c r="C76" s="2">
        <v>558</v>
      </c>
      <c r="D76" s="2">
        <v>1754</v>
      </c>
      <c r="E76" s="2">
        <v>1</v>
      </c>
      <c r="F76" s="2">
        <f t="shared" si="6"/>
        <v>7</v>
      </c>
      <c r="G76" s="2">
        <f t="shared" si="5"/>
        <v>18</v>
      </c>
      <c r="H76" s="2" t="str">
        <f t="shared" si="7"/>
        <v>58</v>
      </c>
      <c r="I76" s="2">
        <f t="shared" si="8"/>
        <v>8</v>
      </c>
      <c r="J76" s="2">
        <f t="shared" si="9"/>
        <v>38</v>
      </c>
    </row>
    <row r="77" spans="1:10">
      <c r="A77" s="2">
        <v>76</v>
      </c>
      <c r="B77" s="3">
        <v>40984</v>
      </c>
      <c r="C77" s="2">
        <v>556</v>
      </c>
      <c r="D77" s="2">
        <v>1755</v>
      </c>
      <c r="E77" s="2">
        <v>1</v>
      </c>
      <c r="F77" s="2">
        <f t="shared" si="6"/>
        <v>7</v>
      </c>
      <c r="G77" s="2">
        <f t="shared" si="5"/>
        <v>18</v>
      </c>
      <c r="H77" s="2" t="str">
        <f t="shared" si="7"/>
        <v>56</v>
      </c>
      <c r="I77" s="2">
        <f t="shared" si="8"/>
        <v>8</v>
      </c>
      <c r="J77" s="2">
        <f t="shared" si="9"/>
        <v>36</v>
      </c>
    </row>
    <row r="78" spans="1:10">
      <c r="A78" s="2">
        <v>77</v>
      </c>
      <c r="B78" s="3">
        <v>40985</v>
      </c>
      <c r="C78" s="2">
        <v>555</v>
      </c>
      <c r="D78" s="2">
        <v>1756</v>
      </c>
      <c r="E78" s="2">
        <v>1</v>
      </c>
      <c r="F78" s="2">
        <f t="shared" si="6"/>
        <v>7</v>
      </c>
      <c r="G78" s="2">
        <f t="shared" si="5"/>
        <v>18</v>
      </c>
      <c r="H78" s="2" t="str">
        <f t="shared" si="7"/>
        <v>55</v>
      </c>
      <c r="I78" s="2">
        <f t="shared" si="8"/>
        <v>8</v>
      </c>
      <c r="J78" s="2">
        <f t="shared" si="9"/>
        <v>35</v>
      </c>
    </row>
    <row r="79" spans="1:10">
      <c r="A79" s="2">
        <v>78</v>
      </c>
      <c r="B79" s="3">
        <v>40986</v>
      </c>
      <c r="C79" s="2">
        <v>553</v>
      </c>
      <c r="D79" s="2">
        <v>1757</v>
      </c>
      <c r="E79" s="2">
        <v>1</v>
      </c>
      <c r="F79" s="2">
        <f t="shared" si="6"/>
        <v>7</v>
      </c>
      <c r="G79" s="2">
        <f t="shared" si="5"/>
        <v>18</v>
      </c>
      <c r="H79" s="2" t="str">
        <f t="shared" si="7"/>
        <v>53</v>
      </c>
      <c r="I79" s="2">
        <f t="shared" si="8"/>
        <v>8</v>
      </c>
      <c r="J79" s="2">
        <f t="shared" si="9"/>
        <v>33</v>
      </c>
    </row>
    <row r="80" spans="1:10">
      <c r="A80" s="2">
        <v>79</v>
      </c>
      <c r="B80" s="3">
        <v>40987</v>
      </c>
      <c r="C80" s="2">
        <v>551</v>
      </c>
      <c r="D80" s="2">
        <v>1758</v>
      </c>
      <c r="E80" s="2">
        <v>1</v>
      </c>
      <c r="F80" s="2">
        <f t="shared" si="6"/>
        <v>7</v>
      </c>
      <c r="G80" s="2">
        <f t="shared" si="5"/>
        <v>18</v>
      </c>
      <c r="H80" s="2" t="str">
        <f t="shared" si="7"/>
        <v>51</v>
      </c>
      <c r="I80" s="2">
        <f t="shared" si="8"/>
        <v>8</v>
      </c>
      <c r="J80" s="2">
        <f t="shared" si="9"/>
        <v>31</v>
      </c>
    </row>
    <row r="81" spans="1:10">
      <c r="A81" s="2">
        <v>80</v>
      </c>
      <c r="B81" s="3">
        <v>40988</v>
      </c>
      <c r="C81" s="2">
        <v>549</v>
      </c>
      <c r="D81" s="2">
        <v>1800</v>
      </c>
      <c r="E81" s="2">
        <v>1</v>
      </c>
      <c r="F81" s="2">
        <f t="shared" si="6"/>
        <v>7</v>
      </c>
      <c r="G81" s="2">
        <f t="shared" si="5"/>
        <v>18</v>
      </c>
      <c r="H81" s="2" t="str">
        <f t="shared" si="7"/>
        <v>49</v>
      </c>
      <c r="I81" s="2">
        <f t="shared" si="8"/>
        <v>8</v>
      </c>
      <c r="J81" s="2">
        <f t="shared" si="9"/>
        <v>29</v>
      </c>
    </row>
    <row r="82" spans="1:10">
      <c r="A82" s="2">
        <v>81</v>
      </c>
      <c r="B82" s="3">
        <v>40989</v>
      </c>
      <c r="C82" s="2">
        <v>547</v>
      </c>
      <c r="D82" s="2">
        <v>1801</v>
      </c>
      <c r="E82" s="2">
        <v>1</v>
      </c>
      <c r="F82" s="2">
        <f t="shared" si="6"/>
        <v>7</v>
      </c>
      <c r="G82" s="2">
        <f t="shared" si="5"/>
        <v>18</v>
      </c>
      <c r="H82" s="2" t="str">
        <f t="shared" si="7"/>
        <v>47</v>
      </c>
      <c r="I82" s="2">
        <f t="shared" si="8"/>
        <v>8</v>
      </c>
      <c r="J82" s="2">
        <f t="shared" si="9"/>
        <v>27</v>
      </c>
    </row>
    <row r="83" spans="1:10">
      <c r="A83" s="2">
        <v>82</v>
      </c>
      <c r="B83" s="3">
        <v>40990</v>
      </c>
      <c r="C83" s="2">
        <v>546</v>
      </c>
      <c r="D83" s="2">
        <v>1802</v>
      </c>
      <c r="E83" s="2">
        <v>1</v>
      </c>
      <c r="F83" s="2">
        <f t="shared" si="6"/>
        <v>7</v>
      </c>
      <c r="G83" s="2">
        <f t="shared" si="5"/>
        <v>18</v>
      </c>
      <c r="H83" s="2" t="str">
        <f t="shared" si="7"/>
        <v>46</v>
      </c>
      <c r="I83" s="2">
        <f t="shared" si="8"/>
        <v>8</v>
      </c>
      <c r="J83" s="2">
        <f t="shared" si="9"/>
        <v>26</v>
      </c>
    </row>
    <row r="84" spans="1:10">
      <c r="A84" s="2">
        <v>83</v>
      </c>
      <c r="B84" s="3">
        <v>40991</v>
      </c>
      <c r="C84" s="2">
        <v>544</v>
      </c>
      <c r="D84" s="2">
        <v>1803</v>
      </c>
      <c r="E84" s="2">
        <v>1</v>
      </c>
      <c r="F84" s="2">
        <f t="shared" si="6"/>
        <v>7</v>
      </c>
      <c r="G84" s="2">
        <f t="shared" si="5"/>
        <v>18</v>
      </c>
      <c r="H84" s="2" t="str">
        <f t="shared" si="7"/>
        <v>44</v>
      </c>
      <c r="I84" s="2">
        <f t="shared" si="8"/>
        <v>8</v>
      </c>
      <c r="J84" s="2">
        <f t="shared" si="9"/>
        <v>24</v>
      </c>
    </row>
    <row r="85" spans="1:10">
      <c r="A85" s="2">
        <v>84</v>
      </c>
      <c r="B85" s="3">
        <v>40992</v>
      </c>
      <c r="C85" s="2">
        <v>542</v>
      </c>
      <c r="D85" s="2">
        <v>1805</v>
      </c>
      <c r="E85" s="2">
        <v>1</v>
      </c>
      <c r="F85" s="2">
        <f t="shared" si="6"/>
        <v>7</v>
      </c>
      <c r="G85" s="2">
        <f t="shared" si="5"/>
        <v>18</v>
      </c>
      <c r="H85" s="2" t="str">
        <f t="shared" si="7"/>
        <v>42</v>
      </c>
      <c r="I85" s="2">
        <f t="shared" si="8"/>
        <v>8</v>
      </c>
      <c r="J85" s="2">
        <f t="shared" si="9"/>
        <v>22</v>
      </c>
    </row>
    <row r="86" spans="1:10">
      <c r="A86" s="2">
        <v>85</v>
      </c>
      <c r="B86" s="3">
        <v>40993</v>
      </c>
      <c r="C86" s="2">
        <v>540</v>
      </c>
      <c r="D86" s="2">
        <v>1806</v>
      </c>
      <c r="E86" s="2">
        <v>1</v>
      </c>
      <c r="F86" s="2">
        <f t="shared" si="6"/>
        <v>7</v>
      </c>
      <c r="G86" s="2">
        <f t="shared" si="5"/>
        <v>18</v>
      </c>
      <c r="H86" s="2" t="str">
        <f t="shared" si="7"/>
        <v>40</v>
      </c>
      <c r="I86" s="2">
        <f t="shared" si="8"/>
        <v>8</v>
      </c>
      <c r="J86" s="2">
        <f t="shared" si="9"/>
        <v>20</v>
      </c>
    </row>
    <row r="87" spans="1:10">
      <c r="A87" s="2">
        <v>86</v>
      </c>
      <c r="B87" s="3">
        <v>40994</v>
      </c>
      <c r="C87" s="2">
        <v>538</v>
      </c>
      <c r="D87" s="2">
        <v>1807</v>
      </c>
      <c r="E87" s="2">
        <v>1</v>
      </c>
      <c r="F87" s="2">
        <f t="shared" si="6"/>
        <v>7</v>
      </c>
      <c r="G87" s="2">
        <f t="shared" si="5"/>
        <v>18</v>
      </c>
      <c r="H87" s="2" t="str">
        <f t="shared" si="7"/>
        <v>38</v>
      </c>
      <c r="I87" s="2">
        <f t="shared" si="8"/>
        <v>8</v>
      </c>
      <c r="J87" s="2">
        <f t="shared" si="9"/>
        <v>18</v>
      </c>
    </row>
    <row r="88" spans="1:10">
      <c r="A88" s="2">
        <v>87</v>
      </c>
      <c r="B88" s="3">
        <v>40995</v>
      </c>
      <c r="C88" s="2">
        <v>537</v>
      </c>
      <c r="D88" s="2">
        <v>1808</v>
      </c>
      <c r="E88" s="2">
        <v>1</v>
      </c>
      <c r="F88" s="2">
        <f t="shared" si="6"/>
        <v>7</v>
      </c>
      <c r="G88" s="2">
        <f t="shared" si="5"/>
        <v>18</v>
      </c>
      <c r="H88" s="2" t="str">
        <f t="shared" si="7"/>
        <v>37</v>
      </c>
      <c r="I88" s="2">
        <f t="shared" si="8"/>
        <v>8</v>
      </c>
      <c r="J88" s="2">
        <f t="shared" si="9"/>
        <v>17</v>
      </c>
    </row>
    <row r="89" spans="1:10">
      <c r="A89" s="2">
        <v>88</v>
      </c>
      <c r="B89" s="3">
        <v>40996</v>
      </c>
      <c r="C89" s="2">
        <v>535</v>
      </c>
      <c r="D89" s="2">
        <v>1809</v>
      </c>
      <c r="E89" s="2">
        <v>1</v>
      </c>
      <c r="F89" s="2">
        <f t="shared" si="6"/>
        <v>7</v>
      </c>
      <c r="G89" s="2">
        <f t="shared" si="5"/>
        <v>18</v>
      </c>
      <c r="H89" s="2" t="str">
        <f t="shared" si="7"/>
        <v>35</v>
      </c>
      <c r="I89" s="2">
        <f t="shared" si="8"/>
        <v>8</v>
      </c>
      <c r="J89" s="2">
        <f t="shared" si="9"/>
        <v>15</v>
      </c>
    </row>
    <row r="90" spans="1:10">
      <c r="A90" s="2">
        <v>89</v>
      </c>
      <c r="B90" s="3">
        <v>40997</v>
      </c>
      <c r="C90" s="2">
        <v>533</v>
      </c>
      <c r="D90" s="2">
        <v>1811</v>
      </c>
      <c r="E90" s="2">
        <v>1</v>
      </c>
      <c r="F90" s="2">
        <f t="shared" si="6"/>
        <v>7</v>
      </c>
      <c r="G90" s="2">
        <f t="shared" si="5"/>
        <v>18</v>
      </c>
      <c r="H90" s="2" t="str">
        <f t="shared" si="7"/>
        <v>33</v>
      </c>
      <c r="I90" s="2">
        <f t="shared" si="8"/>
        <v>8</v>
      </c>
      <c r="J90" s="2">
        <f t="shared" si="9"/>
        <v>13</v>
      </c>
    </row>
    <row r="91" spans="1:10">
      <c r="A91" s="2">
        <v>90</v>
      </c>
      <c r="B91" s="3">
        <v>40998</v>
      </c>
      <c r="C91" s="2">
        <v>531</v>
      </c>
      <c r="D91" s="2">
        <v>1812</v>
      </c>
      <c r="E91" s="2">
        <v>1</v>
      </c>
      <c r="F91" s="2">
        <f t="shared" si="6"/>
        <v>7</v>
      </c>
      <c r="G91" s="2">
        <f t="shared" si="5"/>
        <v>18</v>
      </c>
      <c r="H91" s="2" t="str">
        <f t="shared" si="7"/>
        <v>31</v>
      </c>
      <c r="I91" s="2">
        <f t="shared" si="8"/>
        <v>8</v>
      </c>
      <c r="J91" s="2">
        <f t="shared" si="9"/>
        <v>11</v>
      </c>
    </row>
    <row r="92" spans="1:10">
      <c r="A92" s="2">
        <v>91</v>
      </c>
      <c r="B92" s="3">
        <v>40999</v>
      </c>
      <c r="C92" s="2">
        <v>529</v>
      </c>
      <c r="D92" s="2">
        <v>1813</v>
      </c>
      <c r="E92" s="2">
        <v>1</v>
      </c>
      <c r="F92" s="2">
        <f t="shared" si="6"/>
        <v>6</v>
      </c>
      <c r="G92" s="2">
        <f t="shared" si="5"/>
        <v>18</v>
      </c>
      <c r="H92" s="2" t="str">
        <f t="shared" si="7"/>
        <v>29</v>
      </c>
      <c r="I92" s="2">
        <f t="shared" si="8"/>
        <v>7</v>
      </c>
      <c r="J92" s="2">
        <f t="shared" si="9"/>
        <v>9</v>
      </c>
    </row>
    <row r="93" spans="1:10">
      <c r="A93" s="2">
        <v>92</v>
      </c>
      <c r="B93" s="3">
        <v>41000</v>
      </c>
      <c r="C93" s="2">
        <v>528</v>
      </c>
      <c r="D93" s="2">
        <v>1814</v>
      </c>
      <c r="E93" s="2">
        <v>1</v>
      </c>
      <c r="F93" s="2">
        <f t="shared" si="6"/>
        <v>6</v>
      </c>
      <c r="G93" s="2">
        <f t="shared" si="5"/>
        <v>18</v>
      </c>
      <c r="H93" s="2" t="str">
        <f t="shared" si="7"/>
        <v>28</v>
      </c>
      <c r="I93" s="2">
        <f t="shared" si="8"/>
        <v>7</v>
      </c>
      <c r="J93" s="2">
        <f t="shared" si="9"/>
        <v>8</v>
      </c>
    </row>
    <row r="94" spans="1:10">
      <c r="A94" s="2">
        <v>93</v>
      </c>
      <c r="B94" s="3">
        <v>41001</v>
      </c>
      <c r="C94" s="2">
        <v>526</v>
      </c>
      <c r="D94" s="2">
        <v>1815</v>
      </c>
      <c r="E94" s="2">
        <v>1</v>
      </c>
      <c r="F94" s="2">
        <f t="shared" si="6"/>
        <v>6</v>
      </c>
      <c r="G94" s="2">
        <f t="shared" si="5"/>
        <v>18</v>
      </c>
      <c r="H94" s="2" t="str">
        <f t="shared" si="7"/>
        <v>26</v>
      </c>
      <c r="I94" s="2">
        <f t="shared" si="8"/>
        <v>7</v>
      </c>
      <c r="J94" s="2">
        <f t="shared" si="9"/>
        <v>6</v>
      </c>
    </row>
    <row r="95" spans="1:10">
      <c r="A95" s="2">
        <v>94</v>
      </c>
      <c r="B95" s="3">
        <v>41002</v>
      </c>
      <c r="C95" s="2">
        <v>524</v>
      </c>
      <c r="D95" s="2">
        <v>1817</v>
      </c>
      <c r="E95" s="2">
        <v>1</v>
      </c>
      <c r="F95" s="2">
        <f t="shared" si="6"/>
        <v>6</v>
      </c>
      <c r="G95" s="2">
        <f t="shared" si="5"/>
        <v>18</v>
      </c>
      <c r="H95" s="2" t="str">
        <f t="shared" si="7"/>
        <v>24</v>
      </c>
      <c r="I95" s="2">
        <f t="shared" si="8"/>
        <v>7</v>
      </c>
      <c r="J95" s="2">
        <f t="shared" si="9"/>
        <v>4</v>
      </c>
    </row>
    <row r="96" spans="1:10">
      <c r="A96" s="2">
        <v>95</v>
      </c>
      <c r="B96" s="3">
        <v>41003</v>
      </c>
      <c r="C96" s="2">
        <v>522</v>
      </c>
      <c r="D96" s="2">
        <v>1818</v>
      </c>
      <c r="E96" s="2">
        <v>1</v>
      </c>
      <c r="F96" s="2">
        <f t="shared" si="6"/>
        <v>6</v>
      </c>
      <c r="G96" s="2">
        <f t="shared" si="5"/>
        <v>18</v>
      </c>
      <c r="H96" s="2" t="str">
        <f t="shared" si="7"/>
        <v>22</v>
      </c>
      <c r="I96" s="2">
        <f t="shared" si="8"/>
        <v>7</v>
      </c>
      <c r="J96" s="2">
        <f t="shared" si="9"/>
        <v>2</v>
      </c>
    </row>
    <row r="97" spans="1:10">
      <c r="A97" s="2">
        <v>96</v>
      </c>
      <c r="B97" s="3">
        <v>41004</v>
      </c>
      <c r="C97" s="2">
        <v>520</v>
      </c>
      <c r="D97" s="2">
        <v>1819</v>
      </c>
      <c r="E97" s="2">
        <v>1</v>
      </c>
      <c r="F97" s="2">
        <f t="shared" si="6"/>
        <v>6</v>
      </c>
      <c r="G97" s="2">
        <f t="shared" si="5"/>
        <v>18</v>
      </c>
      <c r="H97" s="2" t="str">
        <f t="shared" si="7"/>
        <v>20</v>
      </c>
      <c r="I97" s="2">
        <f t="shared" si="8"/>
        <v>7</v>
      </c>
      <c r="J97" s="2">
        <f t="shared" si="9"/>
        <v>0</v>
      </c>
    </row>
    <row r="98" spans="1:10">
      <c r="A98" s="2">
        <v>97</v>
      </c>
      <c r="B98" s="3">
        <v>41005</v>
      </c>
      <c r="C98" s="2">
        <v>519</v>
      </c>
      <c r="D98" s="2">
        <v>1820</v>
      </c>
      <c r="E98" s="2">
        <v>1</v>
      </c>
      <c r="F98" s="2">
        <f t="shared" si="6"/>
        <v>6</v>
      </c>
      <c r="G98" s="2">
        <f t="shared" si="5"/>
        <v>18</v>
      </c>
      <c r="H98" s="2" t="str">
        <f t="shared" si="7"/>
        <v>19</v>
      </c>
      <c r="I98" s="2">
        <f t="shared" si="8"/>
        <v>6</v>
      </c>
      <c r="J98" s="2">
        <f t="shared" si="9"/>
        <v>59</v>
      </c>
    </row>
    <row r="99" spans="1:10">
      <c r="A99" s="2">
        <v>98</v>
      </c>
      <c r="B99" s="3">
        <v>41006</v>
      </c>
      <c r="C99" s="2">
        <v>517</v>
      </c>
      <c r="D99" s="2">
        <v>1821</v>
      </c>
      <c r="E99" s="2">
        <v>1</v>
      </c>
      <c r="F99" s="2">
        <f t="shared" si="6"/>
        <v>6</v>
      </c>
      <c r="G99" s="2">
        <f t="shared" si="5"/>
        <v>18</v>
      </c>
      <c r="H99" s="2" t="str">
        <f t="shared" si="7"/>
        <v>17</v>
      </c>
      <c r="I99" s="2">
        <f t="shared" si="8"/>
        <v>6</v>
      </c>
      <c r="J99" s="2">
        <f t="shared" si="9"/>
        <v>57</v>
      </c>
    </row>
    <row r="100" spans="1:10">
      <c r="A100" s="2">
        <v>99</v>
      </c>
      <c r="B100" s="3">
        <v>41007</v>
      </c>
      <c r="C100" s="2">
        <v>515</v>
      </c>
      <c r="D100" s="2">
        <v>1823</v>
      </c>
      <c r="E100" s="2">
        <v>1</v>
      </c>
      <c r="F100" s="2">
        <f t="shared" si="6"/>
        <v>6</v>
      </c>
      <c r="G100" s="2">
        <f t="shared" si="5"/>
        <v>18</v>
      </c>
      <c r="H100" s="2" t="str">
        <f t="shared" si="7"/>
        <v>15</v>
      </c>
      <c r="I100" s="2">
        <f t="shared" si="8"/>
        <v>6</v>
      </c>
      <c r="J100" s="2">
        <f t="shared" si="9"/>
        <v>55</v>
      </c>
    </row>
    <row r="101" spans="1:10">
      <c r="A101" s="2">
        <v>100</v>
      </c>
      <c r="B101" s="3">
        <v>41008</v>
      </c>
      <c r="C101" s="2">
        <v>513</v>
      </c>
      <c r="D101" s="2">
        <v>1824</v>
      </c>
      <c r="E101" s="2">
        <v>1</v>
      </c>
      <c r="F101" s="2">
        <f t="shared" si="6"/>
        <v>6</v>
      </c>
      <c r="G101" s="2">
        <f t="shared" si="5"/>
        <v>18</v>
      </c>
      <c r="H101" s="2" t="str">
        <f t="shared" si="7"/>
        <v>13</v>
      </c>
      <c r="I101" s="2">
        <f t="shared" si="8"/>
        <v>6</v>
      </c>
      <c r="J101" s="2">
        <f t="shared" si="9"/>
        <v>53</v>
      </c>
    </row>
    <row r="102" spans="1:10">
      <c r="A102" s="2">
        <v>101</v>
      </c>
      <c r="B102" s="3">
        <v>41009</v>
      </c>
      <c r="C102" s="2">
        <v>512</v>
      </c>
      <c r="D102" s="2">
        <v>1825</v>
      </c>
      <c r="E102" s="2">
        <v>1</v>
      </c>
      <c r="F102" s="2">
        <f t="shared" si="6"/>
        <v>6</v>
      </c>
      <c r="G102" s="2">
        <f t="shared" si="5"/>
        <v>18</v>
      </c>
      <c r="H102" s="2" t="str">
        <f t="shared" si="7"/>
        <v>12</v>
      </c>
      <c r="I102" s="2">
        <f t="shared" si="8"/>
        <v>6</v>
      </c>
      <c r="J102" s="2">
        <f t="shared" si="9"/>
        <v>52</v>
      </c>
    </row>
    <row r="103" spans="1:10">
      <c r="A103" s="2">
        <v>102</v>
      </c>
      <c r="B103" s="3">
        <v>41010</v>
      </c>
      <c r="C103" s="2">
        <v>510</v>
      </c>
      <c r="D103" s="2">
        <v>1826</v>
      </c>
      <c r="E103" s="2">
        <v>1</v>
      </c>
      <c r="F103" s="2">
        <f t="shared" si="6"/>
        <v>6</v>
      </c>
      <c r="G103" s="2">
        <f t="shared" si="5"/>
        <v>18</v>
      </c>
      <c r="H103" s="2" t="str">
        <f t="shared" si="7"/>
        <v>10</v>
      </c>
      <c r="I103" s="2">
        <f t="shared" si="8"/>
        <v>6</v>
      </c>
      <c r="J103" s="2">
        <f t="shared" si="9"/>
        <v>50</v>
      </c>
    </row>
    <row r="104" spans="1:10">
      <c r="A104" s="2">
        <v>103</v>
      </c>
      <c r="B104" s="3">
        <v>41011</v>
      </c>
      <c r="C104" s="2">
        <v>508</v>
      </c>
      <c r="D104" s="2">
        <v>1827</v>
      </c>
      <c r="E104" s="2">
        <v>1</v>
      </c>
      <c r="F104" s="2">
        <f t="shared" si="6"/>
        <v>6</v>
      </c>
      <c r="G104" s="2">
        <f t="shared" si="5"/>
        <v>18</v>
      </c>
      <c r="H104" s="2" t="str">
        <f t="shared" si="7"/>
        <v>08</v>
      </c>
      <c r="I104" s="2">
        <f t="shared" si="8"/>
        <v>6</v>
      </c>
      <c r="J104" s="2">
        <f t="shared" si="9"/>
        <v>48</v>
      </c>
    </row>
    <row r="105" spans="1:10">
      <c r="A105" s="2">
        <v>104</v>
      </c>
      <c r="B105" s="3">
        <v>41012</v>
      </c>
      <c r="C105" s="2">
        <v>507</v>
      </c>
      <c r="D105" s="2">
        <v>1829</v>
      </c>
      <c r="E105" s="2">
        <v>1</v>
      </c>
      <c r="F105" s="2">
        <f t="shared" si="6"/>
        <v>6</v>
      </c>
      <c r="G105" s="2">
        <f t="shared" si="5"/>
        <v>18</v>
      </c>
      <c r="H105" s="2" t="str">
        <f t="shared" si="7"/>
        <v>07</v>
      </c>
      <c r="I105" s="2">
        <f t="shared" si="8"/>
        <v>6</v>
      </c>
      <c r="J105" s="2">
        <f t="shared" si="9"/>
        <v>47</v>
      </c>
    </row>
    <row r="106" spans="1:10">
      <c r="A106" s="2">
        <v>105</v>
      </c>
      <c r="B106" s="3">
        <v>41013</v>
      </c>
      <c r="C106" s="2">
        <v>505</v>
      </c>
      <c r="D106" s="2">
        <v>1830</v>
      </c>
      <c r="E106" s="2">
        <v>1</v>
      </c>
      <c r="F106" s="2">
        <f t="shared" si="6"/>
        <v>6</v>
      </c>
      <c r="G106" s="2">
        <f t="shared" si="5"/>
        <v>19</v>
      </c>
      <c r="H106" s="2" t="str">
        <f t="shared" si="7"/>
        <v>05</v>
      </c>
      <c r="I106" s="2">
        <f t="shared" si="8"/>
        <v>6</v>
      </c>
      <c r="J106" s="2">
        <f t="shared" si="9"/>
        <v>45</v>
      </c>
    </row>
    <row r="107" spans="1:10">
      <c r="A107" s="2">
        <v>106</v>
      </c>
      <c r="B107" s="3">
        <v>41014</v>
      </c>
      <c r="C107" s="2">
        <v>503</v>
      </c>
      <c r="D107" s="2">
        <v>1831</v>
      </c>
      <c r="E107" s="2">
        <v>1</v>
      </c>
      <c r="F107" s="2">
        <f t="shared" si="6"/>
        <v>6</v>
      </c>
      <c r="G107" s="2">
        <f t="shared" si="5"/>
        <v>19</v>
      </c>
      <c r="H107" s="2" t="str">
        <f t="shared" si="7"/>
        <v>03</v>
      </c>
      <c r="I107" s="2">
        <f t="shared" si="8"/>
        <v>6</v>
      </c>
      <c r="J107" s="2">
        <f t="shared" si="9"/>
        <v>43</v>
      </c>
    </row>
    <row r="108" spans="1:10">
      <c r="A108" s="2">
        <v>107</v>
      </c>
      <c r="B108" s="3">
        <v>41015</v>
      </c>
      <c r="C108" s="2">
        <v>501</v>
      </c>
      <c r="D108" s="2">
        <v>1832</v>
      </c>
      <c r="E108" s="2">
        <v>1</v>
      </c>
      <c r="F108" s="2">
        <f t="shared" si="6"/>
        <v>6</v>
      </c>
      <c r="G108" s="2">
        <f t="shared" si="5"/>
        <v>19</v>
      </c>
      <c r="H108" s="2" t="str">
        <f t="shared" si="7"/>
        <v>01</v>
      </c>
      <c r="I108" s="2">
        <f t="shared" si="8"/>
        <v>6</v>
      </c>
      <c r="J108" s="2">
        <f t="shared" si="9"/>
        <v>41</v>
      </c>
    </row>
    <row r="109" spans="1:10">
      <c r="A109" s="2">
        <v>108</v>
      </c>
      <c r="B109" s="3">
        <v>41016</v>
      </c>
      <c r="C109" s="2">
        <v>500</v>
      </c>
      <c r="D109" s="2">
        <v>1833</v>
      </c>
      <c r="E109" s="2">
        <v>1</v>
      </c>
      <c r="F109" s="2">
        <f t="shared" si="6"/>
        <v>6</v>
      </c>
      <c r="G109" s="2">
        <f t="shared" si="5"/>
        <v>19</v>
      </c>
      <c r="H109" s="2" t="str">
        <f t="shared" si="7"/>
        <v>00</v>
      </c>
      <c r="I109" s="2">
        <f t="shared" si="8"/>
        <v>6</v>
      </c>
      <c r="J109" s="2">
        <f t="shared" si="9"/>
        <v>40</v>
      </c>
    </row>
    <row r="110" spans="1:10">
      <c r="A110" s="2">
        <v>109</v>
      </c>
      <c r="B110" s="3">
        <v>41017</v>
      </c>
      <c r="C110" s="2">
        <v>458</v>
      </c>
      <c r="D110" s="2">
        <v>1835</v>
      </c>
      <c r="E110" s="2">
        <v>1</v>
      </c>
      <c r="F110" s="2">
        <f t="shared" si="6"/>
        <v>6</v>
      </c>
      <c r="G110" s="2">
        <f t="shared" si="5"/>
        <v>19</v>
      </c>
      <c r="H110" s="2" t="str">
        <f t="shared" si="7"/>
        <v>58</v>
      </c>
      <c r="I110" s="2">
        <f t="shared" si="8"/>
        <v>7</v>
      </c>
      <c r="J110" s="2">
        <f t="shared" si="9"/>
        <v>38</v>
      </c>
    </row>
    <row r="111" spans="1:10">
      <c r="A111" s="2">
        <v>110</v>
      </c>
      <c r="B111" s="3">
        <v>41018</v>
      </c>
      <c r="C111" s="2">
        <v>457</v>
      </c>
      <c r="D111" s="2">
        <v>1836</v>
      </c>
      <c r="E111" s="2">
        <v>1</v>
      </c>
      <c r="F111" s="2">
        <f t="shared" si="6"/>
        <v>6</v>
      </c>
      <c r="G111" s="2">
        <f t="shared" si="5"/>
        <v>19</v>
      </c>
      <c r="H111" s="2" t="str">
        <f t="shared" si="7"/>
        <v>57</v>
      </c>
      <c r="I111" s="2">
        <f t="shared" si="8"/>
        <v>7</v>
      </c>
      <c r="J111" s="2">
        <f t="shared" si="9"/>
        <v>37</v>
      </c>
    </row>
    <row r="112" spans="1:10">
      <c r="A112" s="2">
        <v>111</v>
      </c>
      <c r="B112" s="3">
        <v>41019</v>
      </c>
      <c r="C112" s="2">
        <v>455</v>
      </c>
      <c r="D112" s="2">
        <v>1837</v>
      </c>
      <c r="E112" s="2">
        <v>1</v>
      </c>
      <c r="F112" s="2">
        <f t="shared" si="6"/>
        <v>6</v>
      </c>
      <c r="G112" s="2">
        <f t="shared" si="5"/>
        <v>19</v>
      </c>
      <c r="H112" s="2" t="str">
        <f t="shared" si="7"/>
        <v>55</v>
      </c>
      <c r="I112" s="2">
        <f t="shared" si="8"/>
        <v>7</v>
      </c>
      <c r="J112" s="2">
        <f t="shared" si="9"/>
        <v>35</v>
      </c>
    </row>
    <row r="113" spans="1:10">
      <c r="A113" s="2">
        <v>112</v>
      </c>
      <c r="B113" s="3">
        <v>41020</v>
      </c>
      <c r="C113" s="2">
        <v>453</v>
      </c>
      <c r="D113" s="2">
        <v>1838</v>
      </c>
      <c r="E113" s="2">
        <v>1</v>
      </c>
      <c r="F113" s="2">
        <f t="shared" si="6"/>
        <v>6</v>
      </c>
      <c r="G113" s="2">
        <f t="shared" si="5"/>
        <v>19</v>
      </c>
      <c r="H113" s="2" t="str">
        <f t="shared" si="7"/>
        <v>53</v>
      </c>
      <c r="I113" s="2">
        <f t="shared" si="8"/>
        <v>7</v>
      </c>
      <c r="J113" s="2">
        <f t="shared" si="9"/>
        <v>33</v>
      </c>
    </row>
    <row r="114" spans="1:10">
      <c r="A114" s="2">
        <v>113</v>
      </c>
      <c r="B114" s="3">
        <v>41021</v>
      </c>
      <c r="C114" s="2">
        <v>452</v>
      </c>
      <c r="D114" s="2">
        <v>1839</v>
      </c>
      <c r="E114" s="2">
        <v>1</v>
      </c>
      <c r="F114" s="2">
        <f t="shared" si="6"/>
        <v>6</v>
      </c>
      <c r="G114" s="2">
        <f t="shared" si="5"/>
        <v>19</v>
      </c>
      <c r="H114" s="2" t="str">
        <f t="shared" si="7"/>
        <v>52</v>
      </c>
      <c r="I114" s="2">
        <f t="shared" si="8"/>
        <v>7</v>
      </c>
      <c r="J114" s="2">
        <f t="shared" si="9"/>
        <v>32</v>
      </c>
    </row>
    <row r="115" spans="1:10">
      <c r="A115" s="2">
        <v>114</v>
      </c>
      <c r="B115" s="3">
        <v>41022</v>
      </c>
      <c r="C115" s="2">
        <v>450</v>
      </c>
      <c r="D115" s="2">
        <v>1841</v>
      </c>
      <c r="E115" s="2">
        <v>1</v>
      </c>
      <c r="F115" s="2">
        <f t="shared" si="6"/>
        <v>6</v>
      </c>
      <c r="G115" s="2">
        <f t="shared" si="5"/>
        <v>19</v>
      </c>
      <c r="H115" s="2" t="str">
        <f t="shared" si="7"/>
        <v>50</v>
      </c>
      <c r="I115" s="2">
        <f t="shared" si="8"/>
        <v>7</v>
      </c>
      <c r="J115" s="2">
        <f t="shared" si="9"/>
        <v>30</v>
      </c>
    </row>
    <row r="116" spans="1:10">
      <c r="A116" s="2">
        <v>115</v>
      </c>
      <c r="B116" s="3">
        <v>41023</v>
      </c>
      <c r="C116" s="2">
        <v>449</v>
      </c>
      <c r="D116" s="2">
        <v>1842</v>
      </c>
      <c r="E116" s="2">
        <v>1</v>
      </c>
      <c r="F116" s="2">
        <f t="shared" si="6"/>
        <v>6</v>
      </c>
      <c r="G116" s="2">
        <f t="shared" si="5"/>
        <v>19</v>
      </c>
      <c r="H116" s="2" t="str">
        <f t="shared" si="7"/>
        <v>49</v>
      </c>
      <c r="I116" s="2">
        <f t="shared" si="8"/>
        <v>7</v>
      </c>
      <c r="J116" s="2">
        <f t="shared" si="9"/>
        <v>29</v>
      </c>
    </row>
    <row r="117" spans="1:10">
      <c r="A117" s="2">
        <v>116</v>
      </c>
      <c r="B117" s="3">
        <v>41024</v>
      </c>
      <c r="C117" s="2">
        <v>447</v>
      </c>
      <c r="D117" s="2">
        <v>1843</v>
      </c>
      <c r="E117" s="2">
        <v>1</v>
      </c>
      <c r="F117" s="2">
        <f t="shared" si="6"/>
        <v>6</v>
      </c>
      <c r="G117" s="2">
        <f t="shared" si="5"/>
        <v>19</v>
      </c>
      <c r="H117" s="2" t="str">
        <f t="shared" si="7"/>
        <v>47</v>
      </c>
      <c r="I117" s="2">
        <f t="shared" si="8"/>
        <v>7</v>
      </c>
      <c r="J117" s="2">
        <f t="shared" si="9"/>
        <v>27</v>
      </c>
    </row>
    <row r="118" spans="1:10">
      <c r="A118" s="2">
        <v>117</v>
      </c>
      <c r="B118" s="3">
        <v>41025</v>
      </c>
      <c r="C118" s="2">
        <v>446</v>
      </c>
      <c r="D118" s="2">
        <v>1844</v>
      </c>
      <c r="E118" s="2">
        <v>1</v>
      </c>
      <c r="F118" s="2">
        <f t="shared" si="6"/>
        <v>6</v>
      </c>
      <c r="G118" s="2">
        <f t="shared" si="5"/>
        <v>19</v>
      </c>
      <c r="H118" s="2" t="str">
        <f t="shared" si="7"/>
        <v>46</v>
      </c>
      <c r="I118" s="2">
        <f t="shared" si="8"/>
        <v>7</v>
      </c>
      <c r="J118" s="2">
        <f t="shared" si="9"/>
        <v>26</v>
      </c>
    </row>
    <row r="119" spans="1:10">
      <c r="A119" s="2">
        <v>118</v>
      </c>
      <c r="B119" s="3">
        <v>41026</v>
      </c>
      <c r="C119" s="2">
        <v>444</v>
      </c>
      <c r="D119" s="2">
        <v>1845</v>
      </c>
      <c r="E119" s="2">
        <v>1</v>
      </c>
      <c r="F119" s="2">
        <f t="shared" si="6"/>
        <v>6</v>
      </c>
      <c r="G119" s="2">
        <f t="shared" si="5"/>
        <v>19</v>
      </c>
      <c r="H119" s="2" t="str">
        <f t="shared" si="7"/>
        <v>44</v>
      </c>
      <c r="I119" s="2">
        <f t="shared" si="8"/>
        <v>7</v>
      </c>
      <c r="J119" s="2">
        <f t="shared" si="9"/>
        <v>24</v>
      </c>
    </row>
    <row r="120" spans="1:10">
      <c r="A120" s="2">
        <v>119</v>
      </c>
      <c r="B120" s="3">
        <v>41027</v>
      </c>
      <c r="C120" s="2">
        <v>443</v>
      </c>
      <c r="D120" s="2">
        <v>1846</v>
      </c>
      <c r="E120" s="2">
        <v>1</v>
      </c>
      <c r="F120" s="2">
        <f t="shared" si="6"/>
        <v>6</v>
      </c>
      <c r="G120" s="2">
        <f t="shared" si="5"/>
        <v>19</v>
      </c>
      <c r="H120" s="2" t="str">
        <f t="shared" si="7"/>
        <v>43</v>
      </c>
      <c r="I120" s="2">
        <f t="shared" si="8"/>
        <v>7</v>
      </c>
      <c r="J120" s="2">
        <f t="shared" si="9"/>
        <v>23</v>
      </c>
    </row>
    <row r="121" spans="1:10">
      <c r="A121" s="2">
        <v>120</v>
      </c>
      <c r="B121" s="3">
        <v>41028</v>
      </c>
      <c r="C121" s="2">
        <v>441</v>
      </c>
      <c r="D121" s="2">
        <v>1848</v>
      </c>
      <c r="E121" s="2">
        <v>1</v>
      </c>
      <c r="F121" s="2">
        <f t="shared" si="6"/>
        <v>6</v>
      </c>
      <c r="G121" s="2">
        <f t="shared" si="5"/>
        <v>19</v>
      </c>
      <c r="H121" s="2" t="str">
        <f t="shared" si="7"/>
        <v>41</v>
      </c>
      <c r="I121" s="2">
        <f t="shared" si="8"/>
        <v>7</v>
      </c>
      <c r="J121" s="2">
        <f t="shared" si="9"/>
        <v>21</v>
      </c>
    </row>
    <row r="122" spans="1:10">
      <c r="A122" s="2">
        <v>121</v>
      </c>
      <c r="B122" s="3">
        <v>41029</v>
      </c>
      <c r="C122" s="2">
        <v>440</v>
      </c>
      <c r="D122" s="2">
        <v>1849</v>
      </c>
      <c r="E122" s="2">
        <v>1</v>
      </c>
      <c r="F122" s="2">
        <f t="shared" si="6"/>
        <v>6</v>
      </c>
      <c r="G122" s="2">
        <f t="shared" si="5"/>
        <v>19</v>
      </c>
      <c r="H122" s="2" t="str">
        <f t="shared" si="7"/>
        <v>40</v>
      </c>
      <c r="I122" s="2">
        <f t="shared" si="8"/>
        <v>7</v>
      </c>
      <c r="J122" s="2">
        <f t="shared" si="9"/>
        <v>20</v>
      </c>
    </row>
    <row r="123" spans="1:10">
      <c r="A123" s="2">
        <v>122</v>
      </c>
      <c r="B123" s="3">
        <v>41030</v>
      </c>
      <c r="C123" s="2">
        <v>438</v>
      </c>
      <c r="D123" s="2">
        <v>1850</v>
      </c>
      <c r="E123" s="2">
        <v>1</v>
      </c>
      <c r="F123" s="2">
        <f t="shared" si="6"/>
        <v>6</v>
      </c>
      <c r="G123" s="2">
        <f t="shared" si="5"/>
        <v>19</v>
      </c>
      <c r="H123" s="2" t="str">
        <f t="shared" si="7"/>
        <v>38</v>
      </c>
      <c r="I123" s="2">
        <f t="shared" si="8"/>
        <v>7</v>
      </c>
      <c r="J123" s="2">
        <f t="shared" si="9"/>
        <v>18</v>
      </c>
    </row>
    <row r="124" spans="1:10">
      <c r="A124" s="2">
        <v>123</v>
      </c>
      <c r="B124" s="3">
        <v>41031</v>
      </c>
      <c r="C124" s="2">
        <v>437</v>
      </c>
      <c r="D124" s="2">
        <v>1851</v>
      </c>
      <c r="E124" s="2">
        <v>1</v>
      </c>
      <c r="F124" s="2">
        <f t="shared" si="6"/>
        <v>6</v>
      </c>
      <c r="G124" s="2">
        <f t="shared" si="5"/>
        <v>19</v>
      </c>
      <c r="H124" s="2" t="str">
        <f t="shared" si="7"/>
        <v>37</v>
      </c>
      <c r="I124" s="2">
        <f t="shared" si="8"/>
        <v>7</v>
      </c>
      <c r="J124" s="2">
        <f t="shared" si="9"/>
        <v>17</v>
      </c>
    </row>
    <row r="125" spans="1:10">
      <c r="A125" s="2">
        <v>124</v>
      </c>
      <c r="B125" s="3">
        <v>41032</v>
      </c>
      <c r="C125" s="2">
        <v>436</v>
      </c>
      <c r="D125" s="2">
        <v>1852</v>
      </c>
      <c r="E125" s="2">
        <v>1</v>
      </c>
      <c r="F125" s="2">
        <f t="shared" si="6"/>
        <v>6</v>
      </c>
      <c r="G125" s="2">
        <f t="shared" si="5"/>
        <v>19</v>
      </c>
      <c r="H125" s="2" t="str">
        <f t="shared" si="7"/>
        <v>36</v>
      </c>
      <c r="I125" s="2">
        <f t="shared" si="8"/>
        <v>7</v>
      </c>
      <c r="J125" s="2">
        <f t="shared" si="9"/>
        <v>16</v>
      </c>
    </row>
    <row r="126" spans="1:10">
      <c r="A126" s="2">
        <v>125</v>
      </c>
      <c r="B126" s="3">
        <v>41033</v>
      </c>
      <c r="C126" s="2">
        <v>434</v>
      </c>
      <c r="D126" s="2">
        <v>1854</v>
      </c>
      <c r="E126" s="2">
        <v>1</v>
      </c>
      <c r="F126" s="2">
        <f t="shared" si="6"/>
        <v>6</v>
      </c>
      <c r="G126" s="2">
        <f t="shared" si="5"/>
        <v>19</v>
      </c>
      <c r="H126" s="2" t="str">
        <f t="shared" si="7"/>
        <v>34</v>
      </c>
      <c r="I126" s="2">
        <f t="shared" si="8"/>
        <v>7</v>
      </c>
      <c r="J126" s="2">
        <f t="shared" si="9"/>
        <v>14</v>
      </c>
    </row>
    <row r="127" spans="1:10">
      <c r="A127" s="2">
        <v>126</v>
      </c>
      <c r="B127" s="3">
        <v>41034</v>
      </c>
      <c r="C127" s="2">
        <v>433</v>
      </c>
      <c r="D127" s="2">
        <v>1855</v>
      </c>
      <c r="E127" s="2">
        <v>1</v>
      </c>
      <c r="F127" s="2">
        <f t="shared" si="6"/>
        <v>6</v>
      </c>
      <c r="G127" s="2">
        <f t="shared" si="5"/>
        <v>19</v>
      </c>
      <c r="H127" s="2" t="str">
        <f t="shared" si="7"/>
        <v>33</v>
      </c>
      <c r="I127" s="2">
        <f t="shared" si="8"/>
        <v>7</v>
      </c>
      <c r="J127" s="2">
        <f t="shared" si="9"/>
        <v>13</v>
      </c>
    </row>
    <row r="128" spans="1:10">
      <c r="A128" s="2">
        <v>127</v>
      </c>
      <c r="B128" s="3">
        <v>41035</v>
      </c>
      <c r="C128" s="2">
        <v>432</v>
      </c>
      <c r="D128" s="2">
        <v>1856</v>
      </c>
      <c r="E128" s="2">
        <v>1</v>
      </c>
      <c r="F128" s="2">
        <f t="shared" si="6"/>
        <v>6</v>
      </c>
      <c r="G128" s="2">
        <f t="shared" si="5"/>
        <v>19</v>
      </c>
      <c r="H128" s="2" t="str">
        <f t="shared" si="7"/>
        <v>32</v>
      </c>
      <c r="I128" s="2">
        <f t="shared" si="8"/>
        <v>7</v>
      </c>
      <c r="J128" s="2">
        <f t="shared" si="9"/>
        <v>12</v>
      </c>
    </row>
    <row r="129" spans="1:10">
      <c r="A129" s="2">
        <v>128</v>
      </c>
      <c r="B129" s="3">
        <v>41036</v>
      </c>
      <c r="C129" s="2">
        <v>430</v>
      </c>
      <c r="D129" s="2">
        <v>1857</v>
      </c>
      <c r="E129" s="2">
        <v>1</v>
      </c>
      <c r="F129" s="2">
        <f t="shared" si="6"/>
        <v>6</v>
      </c>
      <c r="G129" s="2">
        <f t="shared" si="5"/>
        <v>19</v>
      </c>
      <c r="H129" s="2" t="str">
        <f t="shared" si="7"/>
        <v>30</v>
      </c>
      <c r="I129" s="2">
        <f t="shared" si="8"/>
        <v>7</v>
      </c>
      <c r="J129" s="2">
        <f t="shared" si="9"/>
        <v>10</v>
      </c>
    </row>
    <row r="130" spans="1:10">
      <c r="A130" s="2">
        <v>129</v>
      </c>
      <c r="B130" s="3">
        <v>41037</v>
      </c>
      <c r="C130" s="2">
        <v>429</v>
      </c>
      <c r="D130" s="2">
        <v>1858</v>
      </c>
      <c r="E130" s="2">
        <v>1</v>
      </c>
      <c r="F130" s="2">
        <f t="shared" si="6"/>
        <v>5</v>
      </c>
      <c r="G130" s="2">
        <f t="shared" ref="G130:G193" si="10">ROUND(INT(D130/100)+RIGHT(D130,2)/60,0)</f>
        <v>19</v>
      </c>
      <c r="H130" s="2" t="str">
        <f t="shared" si="7"/>
        <v>29</v>
      </c>
      <c r="I130" s="2">
        <f t="shared" si="8"/>
        <v>6</v>
      </c>
      <c r="J130" s="2">
        <f t="shared" si="9"/>
        <v>9</v>
      </c>
    </row>
    <row r="131" spans="1:10">
      <c r="A131" s="2">
        <v>130</v>
      </c>
      <c r="B131" s="3">
        <v>41038</v>
      </c>
      <c r="C131" s="2">
        <v>428</v>
      </c>
      <c r="D131" s="2">
        <v>1859</v>
      </c>
      <c r="E131" s="2">
        <v>1</v>
      </c>
      <c r="F131" s="2">
        <f t="shared" ref="F131:F194" si="11">ROUND(INT(C131/100)+RIGHT(C131,2)/60,0)+E131</f>
        <v>5</v>
      </c>
      <c r="G131" s="2">
        <f t="shared" si="10"/>
        <v>19</v>
      </c>
      <c r="H131" s="2" t="str">
        <f t="shared" ref="H131:H194" si="12">RIGHT(C131,2)</f>
        <v>28</v>
      </c>
      <c r="I131" s="2">
        <f t="shared" ref="I131:I194" si="13">INT(($F131*60+$H131+$L$1)/60)</f>
        <v>6</v>
      </c>
      <c r="J131" s="2">
        <f t="shared" ref="J131:J194" si="14">$F131*60+$H131+$L$1-I131*60</f>
        <v>8</v>
      </c>
    </row>
    <row r="132" spans="1:10">
      <c r="A132" s="2">
        <v>131</v>
      </c>
      <c r="B132" s="3">
        <v>41039</v>
      </c>
      <c r="C132" s="2">
        <v>427</v>
      </c>
      <c r="D132" s="2">
        <v>1900</v>
      </c>
      <c r="E132" s="2">
        <v>1</v>
      </c>
      <c r="F132" s="2">
        <f t="shared" si="11"/>
        <v>5</v>
      </c>
      <c r="G132" s="2">
        <f t="shared" si="10"/>
        <v>19</v>
      </c>
      <c r="H132" s="2" t="str">
        <f t="shared" si="12"/>
        <v>27</v>
      </c>
      <c r="I132" s="2">
        <f t="shared" si="13"/>
        <v>6</v>
      </c>
      <c r="J132" s="2">
        <f t="shared" si="14"/>
        <v>7</v>
      </c>
    </row>
    <row r="133" spans="1:10">
      <c r="A133" s="2">
        <v>132</v>
      </c>
      <c r="B133" s="3">
        <v>41040</v>
      </c>
      <c r="C133" s="2">
        <v>425</v>
      </c>
      <c r="D133" s="2">
        <v>1902</v>
      </c>
      <c r="E133" s="2">
        <v>1</v>
      </c>
      <c r="F133" s="2">
        <f t="shared" si="11"/>
        <v>5</v>
      </c>
      <c r="G133" s="2">
        <f t="shared" si="10"/>
        <v>19</v>
      </c>
      <c r="H133" s="2" t="str">
        <f t="shared" si="12"/>
        <v>25</v>
      </c>
      <c r="I133" s="2">
        <f t="shared" si="13"/>
        <v>6</v>
      </c>
      <c r="J133" s="2">
        <f t="shared" si="14"/>
        <v>5</v>
      </c>
    </row>
    <row r="134" spans="1:10">
      <c r="A134" s="2">
        <v>133</v>
      </c>
      <c r="B134" s="3">
        <v>41041</v>
      </c>
      <c r="C134" s="2">
        <v>424</v>
      </c>
      <c r="D134" s="2">
        <v>1903</v>
      </c>
      <c r="E134" s="2">
        <v>1</v>
      </c>
      <c r="F134" s="2">
        <f t="shared" si="11"/>
        <v>5</v>
      </c>
      <c r="G134" s="2">
        <f t="shared" si="10"/>
        <v>19</v>
      </c>
      <c r="H134" s="2" t="str">
        <f t="shared" si="12"/>
        <v>24</v>
      </c>
      <c r="I134" s="2">
        <f t="shared" si="13"/>
        <v>6</v>
      </c>
      <c r="J134" s="2">
        <f t="shared" si="14"/>
        <v>4</v>
      </c>
    </row>
    <row r="135" spans="1:10">
      <c r="A135" s="2">
        <v>134</v>
      </c>
      <c r="B135" s="3">
        <v>41042</v>
      </c>
      <c r="C135" s="2">
        <v>423</v>
      </c>
      <c r="D135" s="2">
        <v>1904</v>
      </c>
      <c r="E135" s="2">
        <v>1</v>
      </c>
      <c r="F135" s="2">
        <f t="shared" si="11"/>
        <v>5</v>
      </c>
      <c r="G135" s="2">
        <f t="shared" si="10"/>
        <v>19</v>
      </c>
      <c r="H135" s="2" t="str">
        <f t="shared" si="12"/>
        <v>23</v>
      </c>
      <c r="I135" s="2">
        <f t="shared" si="13"/>
        <v>6</v>
      </c>
      <c r="J135" s="2">
        <f t="shared" si="14"/>
        <v>3</v>
      </c>
    </row>
    <row r="136" spans="1:10">
      <c r="A136" s="2">
        <v>135</v>
      </c>
      <c r="B136" s="3">
        <v>41043</v>
      </c>
      <c r="C136" s="2">
        <v>422</v>
      </c>
      <c r="D136" s="2">
        <v>1905</v>
      </c>
      <c r="E136" s="2">
        <v>1</v>
      </c>
      <c r="F136" s="2">
        <f t="shared" si="11"/>
        <v>5</v>
      </c>
      <c r="G136" s="2">
        <f t="shared" si="10"/>
        <v>19</v>
      </c>
      <c r="H136" s="2" t="str">
        <f t="shared" si="12"/>
        <v>22</v>
      </c>
      <c r="I136" s="2">
        <f t="shared" si="13"/>
        <v>6</v>
      </c>
      <c r="J136" s="2">
        <f t="shared" si="14"/>
        <v>2</v>
      </c>
    </row>
    <row r="137" spans="1:10">
      <c r="A137" s="2">
        <v>136</v>
      </c>
      <c r="B137" s="3">
        <v>41044</v>
      </c>
      <c r="C137" s="2">
        <v>421</v>
      </c>
      <c r="D137" s="2">
        <v>1906</v>
      </c>
      <c r="E137" s="2">
        <v>1</v>
      </c>
      <c r="F137" s="2">
        <f t="shared" si="11"/>
        <v>5</v>
      </c>
      <c r="G137" s="2">
        <f t="shared" si="10"/>
        <v>19</v>
      </c>
      <c r="H137" s="2" t="str">
        <f t="shared" si="12"/>
        <v>21</v>
      </c>
      <c r="I137" s="2">
        <f t="shared" si="13"/>
        <v>6</v>
      </c>
      <c r="J137" s="2">
        <f t="shared" si="14"/>
        <v>1</v>
      </c>
    </row>
    <row r="138" spans="1:10">
      <c r="A138" s="2">
        <v>137</v>
      </c>
      <c r="B138" s="3">
        <v>41045</v>
      </c>
      <c r="C138" s="2">
        <v>420</v>
      </c>
      <c r="D138" s="2">
        <v>1907</v>
      </c>
      <c r="E138" s="2">
        <v>1</v>
      </c>
      <c r="F138" s="2">
        <f t="shared" si="11"/>
        <v>5</v>
      </c>
      <c r="G138" s="2">
        <f t="shared" si="10"/>
        <v>19</v>
      </c>
      <c r="H138" s="2" t="str">
        <f t="shared" si="12"/>
        <v>20</v>
      </c>
      <c r="I138" s="2">
        <f t="shared" si="13"/>
        <v>6</v>
      </c>
      <c r="J138" s="2">
        <f t="shared" si="14"/>
        <v>0</v>
      </c>
    </row>
    <row r="139" spans="1:10">
      <c r="A139" s="2">
        <v>138</v>
      </c>
      <c r="B139" s="3">
        <v>41046</v>
      </c>
      <c r="C139" s="2">
        <v>419</v>
      </c>
      <c r="D139" s="2">
        <v>1908</v>
      </c>
      <c r="E139" s="2">
        <v>1</v>
      </c>
      <c r="F139" s="2">
        <f t="shared" si="11"/>
        <v>5</v>
      </c>
      <c r="G139" s="2">
        <f t="shared" si="10"/>
        <v>19</v>
      </c>
      <c r="H139" s="2" t="str">
        <f t="shared" si="12"/>
        <v>19</v>
      </c>
      <c r="I139" s="2">
        <f t="shared" si="13"/>
        <v>5</v>
      </c>
      <c r="J139" s="2">
        <f t="shared" si="14"/>
        <v>59</v>
      </c>
    </row>
    <row r="140" spans="1:10">
      <c r="A140" s="2">
        <v>139</v>
      </c>
      <c r="B140" s="3">
        <v>41047</v>
      </c>
      <c r="C140" s="2">
        <v>418</v>
      </c>
      <c r="D140" s="2">
        <v>1909</v>
      </c>
      <c r="E140" s="2">
        <v>1</v>
      </c>
      <c r="F140" s="2">
        <f t="shared" si="11"/>
        <v>5</v>
      </c>
      <c r="G140" s="2">
        <f t="shared" si="10"/>
        <v>19</v>
      </c>
      <c r="H140" s="2" t="str">
        <f t="shared" si="12"/>
        <v>18</v>
      </c>
      <c r="I140" s="2">
        <f t="shared" si="13"/>
        <v>5</v>
      </c>
      <c r="J140" s="2">
        <f t="shared" si="14"/>
        <v>58</v>
      </c>
    </row>
    <row r="141" spans="1:10">
      <c r="A141" s="2">
        <v>140</v>
      </c>
      <c r="B141" s="3">
        <v>41048</v>
      </c>
      <c r="C141" s="2">
        <v>417</v>
      </c>
      <c r="D141" s="2">
        <v>1910</v>
      </c>
      <c r="E141" s="2">
        <v>1</v>
      </c>
      <c r="F141" s="2">
        <f t="shared" si="11"/>
        <v>5</v>
      </c>
      <c r="G141" s="2">
        <f t="shared" si="10"/>
        <v>19</v>
      </c>
      <c r="H141" s="2" t="str">
        <f t="shared" si="12"/>
        <v>17</v>
      </c>
      <c r="I141" s="2">
        <f t="shared" si="13"/>
        <v>5</v>
      </c>
      <c r="J141" s="2">
        <f t="shared" si="14"/>
        <v>57</v>
      </c>
    </row>
    <row r="142" spans="1:10">
      <c r="A142" s="2">
        <v>141</v>
      </c>
      <c r="B142" s="3">
        <v>41049</v>
      </c>
      <c r="C142" s="2">
        <v>416</v>
      </c>
      <c r="D142" s="2">
        <v>1911</v>
      </c>
      <c r="E142" s="2">
        <v>1</v>
      </c>
      <c r="F142" s="2">
        <f t="shared" si="11"/>
        <v>5</v>
      </c>
      <c r="G142" s="2">
        <f t="shared" si="10"/>
        <v>19</v>
      </c>
      <c r="H142" s="2" t="str">
        <f t="shared" si="12"/>
        <v>16</v>
      </c>
      <c r="I142" s="2">
        <f t="shared" si="13"/>
        <v>5</v>
      </c>
      <c r="J142" s="2">
        <f t="shared" si="14"/>
        <v>56</v>
      </c>
    </row>
    <row r="143" spans="1:10">
      <c r="A143" s="2">
        <v>142</v>
      </c>
      <c r="B143" s="3">
        <v>41050</v>
      </c>
      <c r="C143" s="2">
        <v>415</v>
      </c>
      <c r="D143" s="2">
        <v>1912</v>
      </c>
      <c r="E143" s="2">
        <v>1</v>
      </c>
      <c r="F143" s="2">
        <f t="shared" si="11"/>
        <v>5</v>
      </c>
      <c r="G143" s="2">
        <f t="shared" si="10"/>
        <v>19</v>
      </c>
      <c r="H143" s="2" t="str">
        <f t="shared" si="12"/>
        <v>15</v>
      </c>
      <c r="I143" s="2">
        <f t="shared" si="13"/>
        <v>5</v>
      </c>
      <c r="J143" s="2">
        <f t="shared" si="14"/>
        <v>55</v>
      </c>
    </row>
    <row r="144" spans="1:10">
      <c r="A144" s="2">
        <v>143</v>
      </c>
      <c r="B144" s="3">
        <v>41051</v>
      </c>
      <c r="C144" s="2">
        <v>414</v>
      </c>
      <c r="D144" s="2">
        <v>1913</v>
      </c>
      <c r="E144" s="2">
        <v>1</v>
      </c>
      <c r="F144" s="2">
        <f t="shared" si="11"/>
        <v>5</v>
      </c>
      <c r="G144" s="2">
        <f t="shared" si="10"/>
        <v>19</v>
      </c>
      <c r="H144" s="2" t="str">
        <f t="shared" si="12"/>
        <v>14</v>
      </c>
      <c r="I144" s="2">
        <f t="shared" si="13"/>
        <v>5</v>
      </c>
      <c r="J144" s="2">
        <f t="shared" si="14"/>
        <v>54</v>
      </c>
    </row>
    <row r="145" spans="1:10">
      <c r="A145" s="2">
        <v>144</v>
      </c>
      <c r="B145" s="3">
        <v>41052</v>
      </c>
      <c r="C145" s="2">
        <v>413</v>
      </c>
      <c r="D145" s="2">
        <v>1914</v>
      </c>
      <c r="E145" s="2">
        <v>1</v>
      </c>
      <c r="F145" s="2">
        <f t="shared" si="11"/>
        <v>5</v>
      </c>
      <c r="G145" s="2">
        <f t="shared" si="10"/>
        <v>19</v>
      </c>
      <c r="H145" s="2" t="str">
        <f t="shared" si="12"/>
        <v>13</v>
      </c>
      <c r="I145" s="2">
        <f t="shared" si="13"/>
        <v>5</v>
      </c>
      <c r="J145" s="2">
        <f t="shared" si="14"/>
        <v>53</v>
      </c>
    </row>
    <row r="146" spans="1:10">
      <c r="A146" s="2">
        <v>145</v>
      </c>
      <c r="B146" s="3">
        <v>41053</v>
      </c>
      <c r="C146" s="2">
        <v>413</v>
      </c>
      <c r="D146" s="2">
        <v>1915</v>
      </c>
      <c r="E146" s="2">
        <v>1</v>
      </c>
      <c r="F146" s="2">
        <f t="shared" si="11"/>
        <v>5</v>
      </c>
      <c r="G146" s="2">
        <f t="shared" si="10"/>
        <v>19</v>
      </c>
      <c r="H146" s="2" t="str">
        <f t="shared" si="12"/>
        <v>13</v>
      </c>
      <c r="I146" s="2">
        <f t="shared" si="13"/>
        <v>5</v>
      </c>
      <c r="J146" s="2">
        <f t="shared" si="14"/>
        <v>53</v>
      </c>
    </row>
    <row r="147" spans="1:10">
      <c r="A147" s="2">
        <v>146</v>
      </c>
      <c r="B147" s="3">
        <v>41054</v>
      </c>
      <c r="C147" s="2">
        <v>412</v>
      </c>
      <c r="D147" s="2">
        <v>1916</v>
      </c>
      <c r="E147" s="2">
        <v>1</v>
      </c>
      <c r="F147" s="2">
        <f t="shared" si="11"/>
        <v>5</v>
      </c>
      <c r="G147" s="2">
        <f t="shared" si="10"/>
        <v>19</v>
      </c>
      <c r="H147" s="2" t="str">
        <f t="shared" si="12"/>
        <v>12</v>
      </c>
      <c r="I147" s="2">
        <f t="shared" si="13"/>
        <v>5</v>
      </c>
      <c r="J147" s="2">
        <f t="shared" si="14"/>
        <v>52</v>
      </c>
    </row>
    <row r="148" spans="1:10">
      <c r="A148" s="2">
        <v>147</v>
      </c>
      <c r="B148" s="3">
        <v>41055</v>
      </c>
      <c r="C148" s="2">
        <v>411</v>
      </c>
      <c r="D148" s="2">
        <v>1917</v>
      </c>
      <c r="E148" s="2">
        <v>1</v>
      </c>
      <c r="F148" s="2">
        <f t="shared" si="11"/>
        <v>5</v>
      </c>
      <c r="G148" s="2">
        <f t="shared" si="10"/>
        <v>19</v>
      </c>
      <c r="H148" s="2" t="str">
        <f t="shared" si="12"/>
        <v>11</v>
      </c>
      <c r="I148" s="2">
        <f t="shared" si="13"/>
        <v>5</v>
      </c>
      <c r="J148" s="2">
        <f t="shared" si="14"/>
        <v>51</v>
      </c>
    </row>
    <row r="149" spans="1:10">
      <c r="A149" s="2">
        <v>148</v>
      </c>
      <c r="B149" s="3">
        <v>41056</v>
      </c>
      <c r="C149" s="2">
        <v>410</v>
      </c>
      <c r="D149" s="2">
        <v>1918</v>
      </c>
      <c r="E149" s="2">
        <v>1</v>
      </c>
      <c r="F149" s="2">
        <f t="shared" si="11"/>
        <v>5</v>
      </c>
      <c r="G149" s="2">
        <f t="shared" si="10"/>
        <v>19</v>
      </c>
      <c r="H149" s="2" t="str">
        <f t="shared" si="12"/>
        <v>10</v>
      </c>
      <c r="I149" s="2">
        <f t="shared" si="13"/>
        <v>5</v>
      </c>
      <c r="J149" s="2">
        <f t="shared" si="14"/>
        <v>50</v>
      </c>
    </row>
    <row r="150" spans="1:10">
      <c r="A150" s="2">
        <v>149</v>
      </c>
      <c r="B150" s="3">
        <v>41057</v>
      </c>
      <c r="C150" s="2">
        <v>410</v>
      </c>
      <c r="D150" s="2">
        <v>1919</v>
      </c>
      <c r="E150" s="2">
        <v>1</v>
      </c>
      <c r="F150" s="2">
        <f t="shared" si="11"/>
        <v>5</v>
      </c>
      <c r="G150" s="2">
        <f t="shared" si="10"/>
        <v>19</v>
      </c>
      <c r="H150" s="2" t="str">
        <f t="shared" si="12"/>
        <v>10</v>
      </c>
      <c r="I150" s="2">
        <f t="shared" si="13"/>
        <v>5</v>
      </c>
      <c r="J150" s="2">
        <f t="shared" si="14"/>
        <v>50</v>
      </c>
    </row>
    <row r="151" spans="1:10">
      <c r="A151" s="2">
        <v>150</v>
      </c>
      <c r="B151" s="3">
        <v>41058</v>
      </c>
      <c r="C151" s="2">
        <v>409</v>
      </c>
      <c r="D151" s="2">
        <v>1920</v>
      </c>
      <c r="E151" s="2">
        <v>1</v>
      </c>
      <c r="F151" s="2">
        <f t="shared" si="11"/>
        <v>5</v>
      </c>
      <c r="G151" s="2">
        <f t="shared" si="10"/>
        <v>19</v>
      </c>
      <c r="H151" s="2" t="str">
        <f t="shared" si="12"/>
        <v>09</v>
      </c>
      <c r="I151" s="2">
        <f t="shared" si="13"/>
        <v>5</v>
      </c>
      <c r="J151" s="2">
        <f t="shared" si="14"/>
        <v>49</v>
      </c>
    </row>
    <row r="152" spans="1:10">
      <c r="A152" s="2">
        <v>151</v>
      </c>
      <c r="B152" s="3">
        <v>41059</v>
      </c>
      <c r="C152" s="2">
        <v>409</v>
      </c>
      <c r="D152" s="2">
        <v>1921</v>
      </c>
      <c r="E152" s="2">
        <v>1</v>
      </c>
      <c r="F152" s="2">
        <f t="shared" si="11"/>
        <v>5</v>
      </c>
      <c r="G152" s="2">
        <f t="shared" si="10"/>
        <v>19</v>
      </c>
      <c r="H152" s="2" t="str">
        <f t="shared" si="12"/>
        <v>09</v>
      </c>
      <c r="I152" s="2">
        <f t="shared" si="13"/>
        <v>5</v>
      </c>
      <c r="J152" s="2">
        <f t="shared" si="14"/>
        <v>49</v>
      </c>
    </row>
    <row r="153" spans="1:10">
      <c r="A153" s="2">
        <v>152</v>
      </c>
      <c r="B153" s="3">
        <v>41060</v>
      </c>
      <c r="C153" s="2">
        <v>408</v>
      </c>
      <c r="D153" s="2">
        <v>1921</v>
      </c>
      <c r="E153" s="2">
        <v>1</v>
      </c>
      <c r="F153" s="2">
        <f t="shared" si="11"/>
        <v>5</v>
      </c>
      <c r="G153" s="2">
        <f t="shared" si="10"/>
        <v>19</v>
      </c>
      <c r="H153" s="2" t="str">
        <f t="shared" si="12"/>
        <v>08</v>
      </c>
      <c r="I153" s="2">
        <f t="shared" si="13"/>
        <v>5</v>
      </c>
      <c r="J153" s="2">
        <f t="shared" si="14"/>
        <v>48</v>
      </c>
    </row>
    <row r="154" spans="1:10">
      <c r="A154" s="2">
        <v>153</v>
      </c>
      <c r="B154" s="3">
        <v>41061</v>
      </c>
      <c r="C154" s="2">
        <v>408</v>
      </c>
      <c r="D154" s="2">
        <v>1922</v>
      </c>
      <c r="E154" s="2">
        <v>1</v>
      </c>
      <c r="F154" s="2">
        <f t="shared" si="11"/>
        <v>5</v>
      </c>
      <c r="G154" s="2">
        <f t="shared" si="10"/>
        <v>19</v>
      </c>
      <c r="H154" s="2" t="str">
        <f t="shared" si="12"/>
        <v>08</v>
      </c>
      <c r="I154" s="2">
        <f t="shared" si="13"/>
        <v>5</v>
      </c>
      <c r="J154" s="2">
        <f>$F154*60+$H154+$L$1-I154*60</f>
        <v>48</v>
      </c>
    </row>
    <row r="155" spans="1:10">
      <c r="A155" s="2">
        <v>154</v>
      </c>
      <c r="B155" s="3">
        <v>41062</v>
      </c>
      <c r="C155" s="2">
        <v>407</v>
      </c>
      <c r="D155" s="2">
        <v>1923</v>
      </c>
      <c r="E155" s="2">
        <v>1</v>
      </c>
      <c r="F155" s="2">
        <f t="shared" si="11"/>
        <v>5</v>
      </c>
      <c r="G155" s="2">
        <f t="shared" si="10"/>
        <v>19</v>
      </c>
      <c r="H155" s="2" t="str">
        <f t="shared" si="12"/>
        <v>07</v>
      </c>
      <c r="I155" s="2">
        <f t="shared" si="13"/>
        <v>5</v>
      </c>
      <c r="J155" s="2">
        <f t="shared" si="14"/>
        <v>47</v>
      </c>
    </row>
    <row r="156" spans="1:10">
      <c r="A156" s="2">
        <v>155</v>
      </c>
      <c r="B156" s="3">
        <v>41063</v>
      </c>
      <c r="C156" s="2">
        <v>407</v>
      </c>
      <c r="D156" s="2">
        <v>1924</v>
      </c>
      <c r="E156" s="2">
        <v>1</v>
      </c>
      <c r="F156" s="2">
        <f t="shared" si="11"/>
        <v>5</v>
      </c>
      <c r="G156" s="2">
        <f t="shared" si="10"/>
        <v>19</v>
      </c>
      <c r="H156" s="2" t="str">
        <f t="shared" si="12"/>
        <v>07</v>
      </c>
      <c r="I156" s="2">
        <f t="shared" si="13"/>
        <v>5</v>
      </c>
      <c r="J156" s="2">
        <f t="shared" si="14"/>
        <v>47</v>
      </c>
    </row>
    <row r="157" spans="1:10">
      <c r="A157" s="2">
        <v>156</v>
      </c>
      <c r="B157" s="3">
        <v>41064</v>
      </c>
      <c r="C157" s="2">
        <v>406</v>
      </c>
      <c r="D157" s="2">
        <v>1924</v>
      </c>
      <c r="E157" s="2">
        <v>1</v>
      </c>
      <c r="F157" s="2">
        <f t="shared" si="11"/>
        <v>5</v>
      </c>
      <c r="G157" s="2">
        <f t="shared" si="10"/>
        <v>19</v>
      </c>
      <c r="H157" s="2" t="str">
        <f t="shared" si="12"/>
        <v>06</v>
      </c>
      <c r="I157" s="2">
        <f t="shared" si="13"/>
        <v>5</v>
      </c>
      <c r="J157" s="2">
        <f t="shared" si="14"/>
        <v>46</v>
      </c>
    </row>
    <row r="158" spans="1:10">
      <c r="A158" s="2">
        <v>157</v>
      </c>
      <c r="B158" s="3">
        <v>41065</v>
      </c>
      <c r="C158" s="2">
        <v>406</v>
      </c>
      <c r="D158" s="2">
        <v>1925</v>
      </c>
      <c r="E158" s="2">
        <v>1</v>
      </c>
      <c r="F158" s="2">
        <f t="shared" si="11"/>
        <v>5</v>
      </c>
      <c r="G158" s="2">
        <f t="shared" si="10"/>
        <v>19</v>
      </c>
      <c r="H158" s="2" t="str">
        <f t="shared" si="12"/>
        <v>06</v>
      </c>
      <c r="I158" s="2">
        <f t="shared" si="13"/>
        <v>5</v>
      </c>
      <c r="J158" s="2">
        <f t="shared" si="14"/>
        <v>46</v>
      </c>
    </row>
    <row r="159" spans="1:10">
      <c r="A159" s="2">
        <v>158</v>
      </c>
      <c r="B159" s="3">
        <v>41066</v>
      </c>
      <c r="C159" s="2">
        <v>406</v>
      </c>
      <c r="D159" s="2">
        <v>1926</v>
      </c>
      <c r="E159" s="2">
        <v>1</v>
      </c>
      <c r="F159" s="2">
        <f t="shared" si="11"/>
        <v>5</v>
      </c>
      <c r="G159" s="2">
        <f t="shared" si="10"/>
        <v>19</v>
      </c>
      <c r="H159" s="2" t="str">
        <f t="shared" si="12"/>
        <v>06</v>
      </c>
      <c r="I159" s="2">
        <f t="shared" si="13"/>
        <v>5</v>
      </c>
      <c r="J159" s="2">
        <f t="shared" si="14"/>
        <v>46</v>
      </c>
    </row>
    <row r="160" spans="1:10">
      <c r="A160" s="2">
        <v>159</v>
      </c>
      <c r="B160" s="3">
        <v>41067</v>
      </c>
      <c r="C160" s="2">
        <v>405</v>
      </c>
      <c r="D160" s="2">
        <v>1927</v>
      </c>
      <c r="E160" s="2">
        <v>1</v>
      </c>
      <c r="F160" s="2">
        <f t="shared" si="11"/>
        <v>5</v>
      </c>
      <c r="G160" s="2">
        <f t="shared" si="10"/>
        <v>19</v>
      </c>
      <c r="H160" s="2" t="str">
        <f t="shared" si="12"/>
        <v>05</v>
      </c>
      <c r="I160" s="2">
        <f t="shared" si="13"/>
        <v>5</v>
      </c>
      <c r="J160" s="2">
        <f t="shared" si="14"/>
        <v>45</v>
      </c>
    </row>
    <row r="161" spans="1:10">
      <c r="A161" s="2">
        <v>160</v>
      </c>
      <c r="B161" s="3">
        <v>41068</v>
      </c>
      <c r="C161" s="2">
        <v>405</v>
      </c>
      <c r="D161" s="2">
        <v>1927</v>
      </c>
      <c r="E161" s="2">
        <v>1</v>
      </c>
      <c r="F161" s="2">
        <f t="shared" si="11"/>
        <v>5</v>
      </c>
      <c r="G161" s="2">
        <f t="shared" si="10"/>
        <v>19</v>
      </c>
      <c r="H161" s="2" t="str">
        <f t="shared" si="12"/>
        <v>05</v>
      </c>
      <c r="I161" s="2">
        <f t="shared" si="13"/>
        <v>5</v>
      </c>
      <c r="J161" s="2">
        <f t="shared" si="14"/>
        <v>45</v>
      </c>
    </row>
    <row r="162" spans="1:10">
      <c r="A162" s="2">
        <v>161</v>
      </c>
      <c r="B162" s="3">
        <v>41069</v>
      </c>
      <c r="C162" s="2">
        <v>405</v>
      </c>
      <c r="D162" s="2">
        <v>1928</v>
      </c>
      <c r="E162" s="2">
        <v>1</v>
      </c>
      <c r="F162" s="2">
        <f t="shared" si="11"/>
        <v>5</v>
      </c>
      <c r="G162" s="2">
        <f t="shared" si="10"/>
        <v>19</v>
      </c>
      <c r="H162" s="2" t="str">
        <f t="shared" si="12"/>
        <v>05</v>
      </c>
      <c r="I162" s="2">
        <f t="shared" si="13"/>
        <v>5</v>
      </c>
      <c r="J162" s="2">
        <f t="shared" si="14"/>
        <v>45</v>
      </c>
    </row>
    <row r="163" spans="1:10">
      <c r="A163" s="2">
        <v>162</v>
      </c>
      <c r="B163" s="3">
        <v>41070</v>
      </c>
      <c r="C163" s="2">
        <v>405</v>
      </c>
      <c r="D163" s="2">
        <v>1928</v>
      </c>
      <c r="E163" s="2">
        <v>1</v>
      </c>
      <c r="F163" s="2">
        <f t="shared" si="11"/>
        <v>5</v>
      </c>
      <c r="G163" s="2">
        <f t="shared" si="10"/>
        <v>19</v>
      </c>
      <c r="H163" s="2" t="str">
        <f t="shared" si="12"/>
        <v>05</v>
      </c>
      <c r="I163" s="2">
        <f t="shared" si="13"/>
        <v>5</v>
      </c>
      <c r="J163" s="2">
        <f t="shared" si="14"/>
        <v>45</v>
      </c>
    </row>
    <row r="164" spans="1:10">
      <c r="A164" s="2">
        <v>163</v>
      </c>
      <c r="B164" s="3">
        <v>41071</v>
      </c>
      <c r="C164" s="2">
        <v>404</v>
      </c>
      <c r="D164" s="2">
        <v>1929</v>
      </c>
      <c r="E164" s="2">
        <v>1</v>
      </c>
      <c r="F164" s="2">
        <f t="shared" si="11"/>
        <v>5</v>
      </c>
      <c r="G164" s="2">
        <f t="shared" si="10"/>
        <v>19</v>
      </c>
      <c r="H164" s="2" t="str">
        <f t="shared" si="12"/>
        <v>04</v>
      </c>
      <c r="I164" s="2">
        <f t="shared" si="13"/>
        <v>5</v>
      </c>
      <c r="J164" s="2">
        <f t="shared" si="14"/>
        <v>44</v>
      </c>
    </row>
    <row r="165" spans="1:10">
      <c r="A165" s="2">
        <v>164</v>
      </c>
      <c r="B165" s="3">
        <v>41072</v>
      </c>
      <c r="C165" s="2">
        <v>404</v>
      </c>
      <c r="D165" s="2">
        <v>1929</v>
      </c>
      <c r="E165" s="2">
        <v>1</v>
      </c>
      <c r="F165" s="2">
        <f t="shared" si="11"/>
        <v>5</v>
      </c>
      <c r="G165" s="2">
        <f t="shared" si="10"/>
        <v>19</v>
      </c>
      <c r="H165" s="2" t="str">
        <f t="shared" si="12"/>
        <v>04</v>
      </c>
      <c r="I165" s="2">
        <f t="shared" si="13"/>
        <v>5</v>
      </c>
      <c r="J165" s="2">
        <f t="shared" si="14"/>
        <v>44</v>
      </c>
    </row>
    <row r="166" spans="1:10">
      <c r="A166" s="2">
        <v>165</v>
      </c>
      <c r="B166" s="3">
        <v>41073</v>
      </c>
      <c r="C166" s="2">
        <v>404</v>
      </c>
      <c r="D166" s="2">
        <v>1930</v>
      </c>
      <c r="E166" s="2">
        <v>1</v>
      </c>
      <c r="F166" s="2">
        <f t="shared" si="11"/>
        <v>5</v>
      </c>
      <c r="G166" s="2">
        <f t="shared" si="10"/>
        <v>20</v>
      </c>
      <c r="H166" s="2" t="str">
        <f t="shared" si="12"/>
        <v>04</v>
      </c>
      <c r="I166" s="2">
        <f t="shared" si="13"/>
        <v>5</v>
      </c>
      <c r="J166" s="2">
        <f t="shared" si="14"/>
        <v>44</v>
      </c>
    </row>
    <row r="167" spans="1:10">
      <c r="A167" s="2">
        <v>166</v>
      </c>
      <c r="B167" s="3">
        <v>41074</v>
      </c>
      <c r="C167" s="2">
        <v>404</v>
      </c>
      <c r="D167" s="2">
        <v>1930</v>
      </c>
      <c r="E167" s="2">
        <v>1</v>
      </c>
      <c r="F167" s="2">
        <f t="shared" si="11"/>
        <v>5</v>
      </c>
      <c r="G167" s="2">
        <f t="shared" si="10"/>
        <v>20</v>
      </c>
      <c r="H167" s="2" t="str">
        <f t="shared" si="12"/>
        <v>04</v>
      </c>
      <c r="I167" s="2">
        <f t="shared" si="13"/>
        <v>5</v>
      </c>
      <c r="J167" s="2">
        <f t="shared" si="14"/>
        <v>44</v>
      </c>
    </row>
    <row r="168" spans="1:10">
      <c r="A168" s="2">
        <v>167</v>
      </c>
      <c r="B168" s="3">
        <v>41075</v>
      </c>
      <c r="C168" s="2">
        <v>404</v>
      </c>
      <c r="D168" s="2">
        <v>1931</v>
      </c>
      <c r="E168" s="2">
        <v>1</v>
      </c>
      <c r="F168" s="2">
        <f t="shared" si="11"/>
        <v>5</v>
      </c>
      <c r="G168" s="2">
        <f t="shared" si="10"/>
        <v>20</v>
      </c>
      <c r="H168" s="2" t="str">
        <f t="shared" si="12"/>
        <v>04</v>
      </c>
      <c r="I168" s="2">
        <f t="shared" si="13"/>
        <v>5</v>
      </c>
      <c r="J168" s="2">
        <f t="shared" si="14"/>
        <v>44</v>
      </c>
    </row>
    <row r="169" spans="1:10">
      <c r="A169" s="2">
        <v>168</v>
      </c>
      <c r="B169" s="3">
        <v>41076</v>
      </c>
      <c r="C169" s="2">
        <v>404</v>
      </c>
      <c r="D169" s="2">
        <v>1931</v>
      </c>
      <c r="E169" s="2">
        <v>1</v>
      </c>
      <c r="F169" s="2">
        <f t="shared" si="11"/>
        <v>5</v>
      </c>
      <c r="G169" s="2">
        <f t="shared" si="10"/>
        <v>20</v>
      </c>
      <c r="H169" s="2" t="str">
        <f t="shared" si="12"/>
        <v>04</v>
      </c>
      <c r="I169" s="2">
        <f t="shared" si="13"/>
        <v>5</v>
      </c>
      <c r="J169" s="2">
        <f t="shared" si="14"/>
        <v>44</v>
      </c>
    </row>
    <row r="170" spans="1:10">
      <c r="A170" s="2">
        <v>169</v>
      </c>
      <c r="B170" s="3">
        <v>41077</v>
      </c>
      <c r="C170" s="2">
        <v>404</v>
      </c>
      <c r="D170" s="2">
        <v>1931</v>
      </c>
      <c r="E170" s="2">
        <v>1</v>
      </c>
      <c r="F170" s="2">
        <f t="shared" si="11"/>
        <v>5</v>
      </c>
      <c r="G170" s="2">
        <f t="shared" si="10"/>
        <v>20</v>
      </c>
      <c r="H170" s="2" t="str">
        <f t="shared" si="12"/>
        <v>04</v>
      </c>
      <c r="I170" s="2">
        <f t="shared" si="13"/>
        <v>5</v>
      </c>
      <c r="J170" s="2">
        <f t="shared" si="14"/>
        <v>44</v>
      </c>
    </row>
    <row r="171" spans="1:10">
      <c r="A171" s="2">
        <v>170</v>
      </c>
      <c r="B171" s="3">
        <v>41078</v>
      </c>
      <c r="C171" s="2">
        <v>404</v>
      </c>
      <c r="D171" s="2">
        <v>1932</v>
      </c>
      <c r="E171" s="2">
        <v>1</v>
      </c>
      <c r="F171" s="2">
        <f t="shared" si="11"/>
        <v>5</v>
      </c>
      <c r="G171" s="2">
        <f t="shared" si="10"/>
        <v>20</v>
      </c>
      <c r="H171" s="2" t="str">
        <f t="shared" si="12"/>
        <v>04</v>
      </c>
      <c r="I171" s="2">
        <f t="shared" si="13"/>
        <v>5</v>
      </c>
      <c r="J171" s="2">
        <f t="shared" si="14"/>
        <v>44</v>
      </c>
    </row>
    <row r="172" spans="1:10">
      <c r="A172" s="2">
        <v>171</v>
      </c>
      <c r="B172" s="3">
        <v>41079</v>
      </c>
      <c r="C172" s="2">
        <v>405</v>
      </c>
      <c r="D172" s="2">
        <v>1932</v>
      </c>
      <c r="E172" s="2">
        <v>1</v>
      </c>
      <c r="F172" s="2">
        <f t="shared" si="11"/>
        <v>5</v>
      </c>
      <c r="G172" s="2">
        <f t="shared" si="10"/>
        <v>20</v>
      </c>
      <c r="H172" s="2" t="str">
        <f t="shared" si="12"/>
        <v>05</v>
      </c>
      <c r="I172" s="2">
        <f t="shared" si="13"/>
        <v>5</v>
      </c>
      <c r="J172" s="2">
        <f t="shared" si="14"/>
        <v>45</v>
      </c>
    </row>
    <row r="173" spans="1:10">
      <c r="A173" s="2">
        <v>172</v>
      </c>
      <c r="B173" s="3">
        <v>41080</v>
      </c>
      <c r="C173" s="2">
        <v>405</v>
      </c>
      <c r="D173" s="2">
        <v>1932</v>
      </c>
      <c r="E173" s="2">
        <v>1</v>
      </c>
      <c r="F173" s="2">
        <f t="shared" si="11"/>
        <v>5</v>
      </c>
      <c r="G173" s="2">
        <f t="shared" si="10"/>
        <v>20</v>
      </c>
      <c r="H173" s="2" t="str">
        <f t="shared" si="12"/>
        <v>05</v>
      </c>
      <c r="I173" s="2">
        <f t="shared" si="13"/>
        <v>5</v>
      </c>
      <c r="J173" s="2">
        <f t="shared" si="14"/>
        <v>45</v>
      </c>
    </row>
    <row r="174" spans="1:10">
      <c r="A174" s="2">
        <v>173</v>
      </c>
      <c r="B174" s="3">
        <v>41081</v>
      </c>
      <c r="C174" s="2">
        <v>405</v>
      </c>
      <c r="D174" s="2">
        <v>1932</v>
      </c>
      <c r="E174" s="2">
        <v>1</v>
      </c>
      <c r="F174" s="2">
        <f t="shared" si="11"/>
        <v>5</v>
      </c>
      <c r="G174" s="2">
        <f t="shared" si="10"/>
        <v>20</v>
      </c>
      <c r="H174" s="2" t="str">
        <f t="shared" si="12"/>
        <v>05</v>
      </c>
      <c r="I174" s="2">
        <f t="shared" si="13"/>
        <v>5</v>
      </c>
      <c r="J174" s="2">
        <f t="shared" si="14"/>
        <v>45</v>
      </c>
    </row>
    <row r="175" spans="1:10">
      <c r="A175" s="2">
        <v>174</v>
      </c>
      <c r="B175" s="3">
        <v>41082</v>
      </c>
      <c r="C175" s="2">
        <v>405</v>
      </c>
      <c r="D175" s="2">
        <v>1933</v>
      </c>
      <c r="E175" s="2">
        <v>1</v>
      </c>
      <c r="F175" s="2">
        <f t="shared" si="11"/>
        <v>5</v>
      </c>
      <c r="G175" s="2">
        <f t="shared" si="10"/>
        <v>20</v>
      </c>
      <c r="H175" s="2" t="str">
        <f t="shared" si="12"/>
        <v>05</v>
      </c>
      <c r="I175" s="2">
        <f t="shared" si="13"/>
        <v>5</v>
      </c>
      <c r="J175" s="2">
        <f t="shared" si="14"/>
        <v>45</v>
      </c>
    </row>
    <row r="176" spans="1:10">
      <c r="A176" s="2">
        <v>175</v>
      </c>
      <c r="B176" s="3">
        <v>41083</v>
      </c>
      <c r="C176" s="2">
        <v>406</v>
      </c>
      <c r="D176" s="2">
        <v>1933</v>
      </c>
      <c r="E176" s="2">
        <v>1</v>
      </c>
      <c r="F176" s="2">
        <f t="shared" si="11"/>
        <v>5</v>
      </c>
      <c r="G176" s="2">
        <f t="shared" si="10"/>
        <v>20</v>
      </c>
      <c r="H176" s="2" t="str">
        <f t="shared" si="12"/>
        <v>06</v>
      </c>
      <c r="I176" s="2">
        <f t="shared" si="13"/>
        <v>5</v>
      </c>
      <c r="J176" s="2">
        <f t="shared" si="14"/>
        <v>46</v>
      </c>
    </row>
    <row r="177" spans="1:10">
      <c r="A177" s="2">
        <v>176</v>
      </c>
      <c r="B177" s="3">
        <v>41084</v>
      </c>
      <c r="C177" s="2">
        <v>406</v>
      </c>
      <c r="D177" s="2">
        <v>1933</v>
      </c>
      <c r="E177" s="2">
        <v>1</v>
      </c>
      <c r="F177" s="2">
        <f t="shared" si="11"/>
        <v>5</v>
      </c>
      <c r="G177" s="2">
        <f t="shared" si="10"/>
        <v>20</v>
      </c>
      <c r="H177" s="2" t="str">
        <f t="shared" si="12"/>
        <v>06</v>
      </c>
      <c r="I177" s="2">
        <f t="shared" si="13"/>
        <v>5</v>
      </c>
      <c r="J177" s="2">
        <f t="shared" si="14"/>
        <v>46</v>
      </c>
    </row>
    <row r="178" spans="1:10">
      <c r="A178" s="2">
        <v>177</v>
      </c>
      <c r="B178" s="3">
        <v>41085</v>
      </c>
      <c r="C178" s="2">
        <v>406</v>
      </c>
      <c r="D178" s="2">
        <v>1933</v>
      </c>
      <c r="E178" s="2">
        <v>1</v>
      </c>
      <c r="F178" s="2">
        <f t="shared" si="11"/>
        <v>5</v>
      </c>
      <c r="G178" s="2">
        <f t="shared" si="10"/>
        <v>20</v>
      </c>
      <c r="H178" s="2" t="str">
        <f t="shared" si="12"/>
        <v>06</v>
      </c>
      <c r="I178" s="2">
        <f t="shared" si="13"/>
        <v>5</v>
      </c>
      <c r="J178" s="2">
        <f t="shared" si="14"/>
        <v>46</v>
      </c>
    </row>
    <row r="179" spans="1:10">
      <c r="A179" s="2">
        <v>178</v>
      </c>
      <c r="B179" s="3">
        <v>41086</v>
      </c>
      <c r="C179" s="2">
        <v>407</v>
      </c>
      <c r="D179" s="2">
        <v>1933</v>
      </c>
      <c r="E179" s="2">
        <v>1</v>
      </c>
      <c r="F179" s="2">
        <f t="shared" si="11"/>
        <v>5</v>
      </c>
      <c r="G179" s="2">
        <f t="shared" si="10"/>
        <v>20</v>
      </c>
      <c r="H179" s="2" t="str">
        <f t="shared" si="12"/>
        <v>07</v>
      </c>
      <c r="I179" s="2">
        <f t="shared" si="13"/>
        <v>5</v>
      </c>
      <c r="J179" s="2">
        <f t="shared" si="14"/>
        <v>47</v>
      </c>
    </row>
    <row r="180" spans="1:10">
      <c r="A180" s="2">
        <v>179</v>
      </c>
      <c r="B180" s="3">
        <v>41087</v>
      </c>
      <c r="C180" s="2">
        <v>407</v>
      </c>
      <c r="D180" s="2">
        <v>1933</v>
      </c>
      <c r="E180" s="2">
        <v>1</v>
      </c>
      <c r="F180" s="2">
        <f t="shared" si="11"/>
        <v>5</v>
      </c>
      <c r="G180" s="2">
        <f t="shared" si="10"/>
        <v>20</v>
      </c>
      <c r="H180" s="2" t="str">
        <f t="shared" si="12"/>
        <v>07</v>
      </c>
      <c r="I180" s="2">
        <f t="shared" si="13"/>
        <v>5</v>
      </c>
      <c r="J180" s="2">
        <f t="shared" si="14"/>
        <v>47</v>
      </c>
    </row>
    <row r="181" spans="1:10">
      <c r="A181" s="2">
        <v>180</v>
      </c>
      <c r="B181" s="3">
        <v>41088</v>
      </c>
      <c r="C181" s="2">
        <v>407</v>
      </c>
      <c r="D181" s="2">
        <v>1933</v>
      </c>
      <c r="E181" s="2">
        <v>1</v>
      </c>
      <c r="F181" s="2">
        <f t="shared" si="11"/>
        <v>5</v>
      </c>
      <c r="G181" s="2">
        <f t="shared" si="10"/>
        <v>20</v>
      </c>
      <c r="H181" s="2" t="str">
        <f t="shared" si="12"/>
        <v>07</v>
      </c>
      <c r="I181" s="2">
        <f t="shared" si="13"/>
        <v>5</v>
      </c>
      <c r="J181" s="2">
        <f t="shared" si="14"/>
        <v>47</v>
      </c>
    </row>
    <row r="182" spans="1:10">
      <c r="A182" s="2">
        <v>181</v>
      </c>
      <c r="B182" s="3">
        <v>41089</v>
      </c>
      <c r="C182" s="2">
        <v>408</v>
      </c>
      <c r="D182" s="2">
        <v>1933</v>
      </c>
      <c r="E182" s="2">
        <v>1</v>
      </c>
      <c r="F182" s="2">
        <f t="shared" si="11"/>
        <v>5</v>
      </c>
      <c r="G182" s="2">
        <f t="shared" si="10"/>
        <v>20</v>
      </c>
      <c r="H182" s="2" t="str">
        <f t="shared" si="12"/>
        <v>08</v>
      </c>
      <c r="I182" s="2">
        <f t="shared" si="13"/>
        <v>5</v>
      </c>
      <c r="J182" s="2">
        <f t="shared" si="14"/>
        <v>48</v>
      </c>
    </row>
    <row r="183" spans="1:10">
      <c r="A183" s="2">
        <v>182</v>
      </c>
      <c r="B183" s="3">
        <v>41090</v>
      </c>
      <c r="C183" s="2">
        <v>408</v>
      </c>
      <c r="D183" s="2">
        <v>1932</v>
      </c>
      <c r="E183" s="2">
        <v>1</v>
      </c>
      <c r="F183" s="2">
        <f t="shared" si="11"/>
        <v>5</v>
      </c>
      <c r="G183" s="2">
        <f t="shared" si="10"/>
        <v>20</v>
      </c>
      <c r="H183" s="2" t="str">
        <f t="shared" si="12"/>
        <v>08</v>
      </c>
      <c r="I183" s="2">
        <f t="shared" si="13"/>
        <v>5</v>
      </c>
      <c r="J183" s="2">
        <f t="shared" si="14"/>
        <v>48</v>
      </c>
    </row>
    <row r="184" spans="1:10">
      <c r="A184" s="2">
        <v>183</v>
      </c>
      <c r="B184" s="3">
        <v>41091</v>
      </c>
      <c r="C184" s="2">
        <v>409</v>
      </c>
      <c r="D184" s="2">
        <v>1932</v>
      </c>
      <c r="E184" s="2">
        <v>1</v>
      </c>
      <c r="F184" s="2">
        <f t="shared" si="11"/>
        <v>5</v>
      </c>
      <c r="G184" s="2">
        <f t="shared" si="10"/>
        <v>20</v>
      </c>
      <c r="H184" s="2" t="str">
        <f t="shared" si="12"/>
        <v>09</v>
      </c>
      <c r="I184" s="2">
        <f t="shared" si="13"/>
        <v>5</v>
      </c>
      <c r="J184" s="2">
        <f t="shared" si="14"/>
        <v>49</v>
      </c>
    </row>
    <row r="185" spans="1:10">
      <c r="A185" s="2">
        <v>184</v>
      </c>
      <c r="B185" s="3">
        <v>41092</v>
      </c>
      <c r="C185" s="2">
        <v>410</v>
      </c>
      <c r="D185" s="2">
        <v>1932</v>
      </c>
      <c r="E185" s="2">
        <v>1</v>
      </c>
      <c r="F185" s="2">
        <f t="shared" si="11"/>
        <v>5</v>
      </c>
      <c r="G185" s="2">
        <f t="shared" si="10"/>
        <v>20</v>
      </c>
      <c r="H185" s="2" t="str">
        <f t="shared" si="12"/>
        <v>10</v>
      </c>
      <c r="I185" s="2">
        <f t="shared" si="13"/>
        <v>5</v>
      </c>
      <c r="J185" s="2">
        <f t="shared" si="14"/>
        <v>50</v>
      </c>
    </row>
    <row r="186" spans="1:10">
      <c r="A186" s="2">
        <v>185</v>
      </c>
      <c r="B186" s="3">
        <v>41093</v>
      </c>
      <c r="C186" s="2">
        <v>410</v>
      </c>
      <c r="D186" s="2">
        <v>1932</v>
      </c>
      <c r="E186" s="2">
        <v>1</v>
      </c>
      <c r="F186" s="2">
        <f t="shared" si="11"/>
        <v>5</v>
      </c>
      <c r="G186" s="2">
        <f t="shared" si="10"/>
        <v>20</v>
      </c>
      <c r="H186" s="2" t="str">
        <f t="shared" si="12"/>
        <v>10</v>
      </c>
      <c r="I186" s="2">
        <f t="shared" si="13"/>
        <v>5</v>
      </c>
      <c r="J186" s="2">
        <f t="shared" si="14"/>
        <v>50</v>
      </c>
    </row>
    <row r="187" spans="1:10">
      <c r="A187" s="2">
        <v>186</v>
      </c>
      <c r="B187" s="3">
        <v>41094</v>
      </c>
      <c r="C187" s="2">
        <v>411</v>
      </c>
      <c r="D187" s="2">
        <v>1932</v>
      </c>
      <c r="E187" s="2">
        <v>1</v>
      </c>
      <c r="F187" s="2">
        <f t="shared" si="11"/>
        <v>5</v>
      </c>
      <c r="G187" s="2">
        <f t="shared" si="10"/>
        <v>20</v>
      </c>
      <c r="H187" s="2" t="str">
        <f t="shared" si="12"/>
        <v>11</v>
      </c>
      <c r="I187" s="2">
        <f t="shared" si="13"/>
        <v>5</v>
      </c>
      <c r="J187" s="2">
        <f t="shared" si="14"/>
        <v>51</v>
      </c>
    </row>
    <row r="188" spans="1:10">
      <c r="A188" s="2">
        <v>187</v>
      </c>
      <c r="B188" s="3">
        <v>41095</v>
      </c>
      <c r="C188" s="2">
        <v>411</v>
      </c>
      <c r="D188" s="2">
        <v>1931</v>
      </c>
      <c r="E188" s="2">
        <v>1</v>
      </c>
      <c r="F188" s="2">
        <f t="shared" si="11"/>
        <v>5</v>
      </c>
      <c r="G188" s="2">
        <f t="shared" si="10"/>
        <v>20</v>
      </c>
      <c r="H188" s="2" t="str">
        <f t="shared" si="12"/>
        <v>11</v>
      </c>
      <c r="I188" s="2">
        <f t="shared" si="13"/>
        <v>5</v>
      </c>
      <c r="J188" s="2">
        <f t="shared" si="14"/>
        <v>51</v>
      </c>
    </row>
    <row r="189" spans="1:10">
      <c r="A189" s="2">
        <v>188</v>
      </c>
      <c r="B189" s="3">
        <v>41096</v>
      </c>
      <c r="C189" s="2">
        <v>412</v>
      </c>
      <c r="D189" s="2">
        <v>1931</v>
      </c>
      <c r="E189" s="2">
        <v>1</v>
      </c>
      <c r="F189" s="2">
        <f t="shared" si="11"/>
        <v>5</v>
      </c>
      <c r="G189" s="2">
        <f t="shared" si="10"/>
        <v>20</v>
      </c>
      <c r="H189" s="2" t="str">
        <f t="shared" si="12"/>
        <v>12</v>
      </c>
      <c r="I189" s="2">
        <f t="shared" si="13"/>
        <v>5</v>
      </c>
      <c r="J189" s="2">
        <f t="shared" si="14"/>
        <v>52</v>
      </c>
    </row>
    <row r="190" spans="1:10">
      <c r="A190" s="2">
        <v>189</v>
      </c>
      <c r="B190" s="3">
        <v>41097</v>
      </c>
      <c r="C190" s="2">
        <v>413</v>
      </c>
      <c r="D190" s="2">
        <v>1930</v>
      </c>
      <c r="E190" s="2">
        <v>1</v>
      </c>
      <c r="F190" s="2">
        <f t="shared" si="11"/>
        <v>5</v>
      </c>
      <c r="G190" s="2">
        <f t="shared" si="10"/>
        <v>20</v>
      </c>
      <c r="H190" s="2" t="str">
        <f t="shared" si="12"/>
        <v>13</v>
      </c>
      <c r="I190" s="2">
        <f t="shared" si="13"/>
        <v>5</v>
      </c>
      <c r="J190" s="2">
        <f t="shared" si="14"/>
        <v>53</v>
      </c>
    </row>
    <row r="191" spans="1:10">
      <c r="A191" s="2">
        <v>190</v>
      </c>
      <c r="B191" s="3">
        <v>41098</v>
      </c>
      <c r="C191" s="2">
        <v>413</v>
      </c>
      <c r="D191" s="2">
        <v>1930</v>
      </c>
      <c r="E191" s="2">
        <v>1</v>
      </c>
      <c r="F191" s="2">
        <f t="shared" si="11"/>
        <v>5</v>
      </c>
      <c r="G191" s="2">
        <f t="shared" si="10"/>
        <v>20</v>
      </c>
      <c r="H191" s="2" t="str">
        <f t="shared" si="12"/>
        <v>13</v>
      </c>
      <c r="I191" s="2">
        <f t="shared" si="13"/>
        <v>5</v>
      </c>
      <c r="J191" s="2">
        <f t="shared" si="14"/>
        <v>53</v>
      </c>
    </row>
    <row r="192" spans="1:10">
      <c r="A192" s="2">
        <v>191</v>
      </c>
      <c r="B192" s="3">
        <v>41099</v>
      </c>
      <c r="C192" s="2">
        <v>414</v>
      </c>
      <c r="D192" s="2">
        <v>1930</v>
      </c>
      <c r="E192" s="2">
        <v>1</v>
      </c>
      <c r="F192" s="2">
        <f t="shared" si="11"/>
        <v>5</v>
      </c>
      <c r="G192" s="2">
        <f t="shared" si="10"/>
        <v>20</v>
      </c>
      <c r="H192" s="2" t="str">
        <f t="shared" si="12"/>
        <v>14</v>
      </c>
      <c r="I192" s="2">
        <f t="shared" si="13"/>
        <v>5</v>
      </c>
      <c r="J192" s="2">
        <f t="shared" si="14"/>
        <v>54</v>
      </c>
    </row>
    <row r="193" spans="1:10">
      <c r="A193" s="2">
        <v>192</v>
      </c>
      <c r="B193" s="3">
        <v>41100</v>
      </c>
      <c r="C193" s="2">
        <v>415</v>
      </c>
      <c r="D193" s="2">
        <v>1929</v>
      </c>
      <c r="E193" s="2">
        <v>1</v>
      </c>
      <c r="F193" s="2">
        <f t="shared" si="11"/>
        <v>5</v>
      </c>
      <c r="G193" s="2">
        <f t="shared" si="10"/>
        <v>19</v>
      </c>
      <c r="H193" s="2" t="str">
        <f t="shared" si="12"/>
        <v>15</v>
      </c>
      <c r="I193" s="2">
        <f t="shared" si="13"/>
        <v>5</v>
      </c>
      <c r="J193" s="2">
        <f t="shared" si="14"/>
        <v>55</v>
      </c>
    </row>
    <row r="194" spans="1:10">
      <c r="A194" s="2">
        <v>193</v>
      </c>
      <c r="B194" s="3">
        <v>41101</v>
      </c>
      <c r="C194" s="2">
        <v>416</v>
      </c>
      <c r="D194" s="2">
        <v>1929</v>
      </c>
      <c r="E194" s="2">
        <v>1</v>
      </c>
      <c r="F194" s="2">
        <f t="shared" si="11"/>
        <v>5</v>
      </c>
      <c r="G194" s="2">
        <f t="shared" ref="G194:G257" si="15">ROUND(INT(D194/100)+RIGHT(D194,2)/60,0)</f>
        <v>19</v>
      </c>
      <c r="H194" s="2" t="str">
        <f t="shared" si="12"/>
        <v>16</v>
      </c>
      <c r="I194" s="2">
        <f t="shared" si="13"/>
        <v>5</v>
      </c>
      <c r="J194" s="2">
        <f t="shared" si="14"/>
        <v>56</v>
      </c>
    </row>
    <row r="195" spans="1:10">
      <c r="A195" s="2">
        <v>194</v>
      </c>
      <c r="B195" s="3">
        <v>41102</v>
      </c>
      <c r="C195" s="2">
        <v>417</v>
      </c>
      <c r="D195" s="2">
        <v>1928</v>
      </c>
      <c r="E195" s="2">
        <v>1</v>
      </c>
      <c r="F195" s="2">
        <f t="shared" ref="F195:F258" si="16">ROUND(INT(C195/100)+RIGHT(C195,2)/60,0)+E195</f>
        <v>5</v>
      </c>
      <c r="G195" s="2">
        <f t="shared" si="15"/>
        <v>19</v>
      </c>
      <c r="H195" s="2" t="str">
        <f t="shared" ref="H195:H258" si="17">RIGHT(C195,2)</f>
        <v>17</v>
      </c>
      <c r="I195" s="2">
        <f t="shared" ref="I195:I258" si="18">INT(($F195*60+$H195+$L$1)/60)</f>
        <v>5</v>
      </c>
      <c r="J195" s="2">
        <f t="shared" ref="J195:J258" si="19">$F195*60+$H195+$L$1-I195*60</f>
        <v>57</v>
      </c>
    </row>
    <row r="196" spans="1:10">
      <c r="A196" s="2">
        <v>195</v>
      </c>
      <c r="B196" s="3">
        <v>41103</v>
      </c>
      <c r="C196" s="2">
        <v>417</v>
      </c>
      <c r="D196" s="2">
        <v>1927</v>
      </c>
      <c r="E196" s="2">
        <v>1</v>
      </c>
      <c r="F196" s="2">
        <f t="shared" si="16"/>
        <v>5</v>
      </c>
      <c r="G196" s="2">
        <f t="shared" si="15"/>
        <v>19</v>
      </c>
      <c r="H196" s="2" t="str">
        <f t="shared" si="17"/>
        <v>17</v>
      </c>
      <c r="I196" s="2">
        <f t="shared" si="18"/>
        <v>5</v>
      </c>
      <c r="J196" s="2">
        <f t="shared" si="19"/>
        <v>57</v>
      </c>
    </row>
    <row r="197" spans="1:10">
      <c r="A197" s="2">
        <v>196</v>
      </c>
      <c r="B197" s="3">
        <v>41104</v>
      </c>
      <c r="C197" s="2">
        <v>418</v>
      </c>
      <c r="D197" s="2">
        <v>1927</v>
      </c>
      <c r="E197" s="2">
        <v>1</v>
      </c>
      <c r="F197" s="2">
        <f t="shared" si="16"/>
        <v>5</v>
      </c>
      <c r="G197" s="2">
        <f t="shared" si="15"/>
        <v>19</v>
      </c>
      <c r="H197" s="2" t="str">
        <f t="shared" si="17"/>
        <v>18</v>
      </c>
      <c r="I197" s="2">
        <f t="shared" si="18"/>
        <v>5</v>
      </c>
      <c r="J197" s="2">
        <f t="shared" si="19"/>
        <v>58</v>
      </c>
    </row>
    <row r="198" spans="1:10">
      <c r="A198" s="2">
        <v>197</v>
      </c>
      <c r="B198" s="3">
        <v>41105</v>
      </c>
      <c r="C198" s="2">
        <v>419</v>
      </c>
      <c r="D198" s="2">
        <v>1926</v>
      </c>
      <c r="E198" s="2">
        <v>1</v>
      </c>
      <c r="F198" s="2">
        <f t="shared" si="16"/>
        <v>5</v>
      </c>
      <c r="G198" s="2">
        <f t="shared" si="15"/>
        <v>19</v>
      </c>
      <c r="H198" s="2" t="str">
        <f t="shared" si="17"/>
        <v>19</v>
      </c>
      <c r="I198" s="2">
        <f t="shared" si="18"/>
        <v>5</v>
      </c>
      <c r="J198" s="2">
        <f t="shared" si="19"/>
        <v>59</v>
      </c>
    </row>
    <row r="199" spans="1:10">
      <c r="A199" s="2">
        <v>198</v>
      </c>
      <c r="B199" s="3">
        <v>41106</v>
      </c>
      <c r="C199" s="2">
        <v>420</v>
      </c>
      <c r="D199" s="2">
        <v>1925</v>
      </c>
      <c r="E199" s="2">
        <v>1</v>
      </c>
      <c r="F199" s="2">
        <f t="shared" si="16"/>
        <v>5</v>
      </c>
      <c r="G199" s="2">
        <f t="shared" si="15"/>
        <v>19</v>
      </c>
      <c r="H199" s="2" t="str">
        <f t="shared" si="17"/>
        <v>20</v>
      </c>
      <c r="I199" s="2">
        <f t="shared" si="18"/>
        <v>6</v>
      </c>
      <c r="J199" s="2">
        <f t="shared" si="19"/>
        <v>0</v>
      </c>
    </row>
    <row r="200" spans="1:10">
      <c r="A200" s="2">
        <v>199</v>
      </c>
      <c r="B200" s="3">
        <v>41107</v>
      </c>
      <c r="C200" s="2">
        <v>421</v>
      </c>
      <c r="D200" s="2">
        <v>1924</v>
      </c>
      <c r="E200" s="2">
        <v>1</v>
      </c>
      <c r="F200" s="2">
        <f t="shared" si="16"/>
        <v>5</v>
      </c>
      <c r="G200" s="2">
        <f t="shared" si="15"/>
        <v>19</v>
      </c>
      <c r="H200" s="2" t="str">
        <f t="shared" si="17"/>
        <v>21</v>
      </c>
      <c r="I200" s="2">
        <f t="shared" si="18"/>
        <v>6</v>
      </c>
      <c r="J200" s="2">
        <f t="shared" si="19"/>
        <v>1</v>
      </c>
    </row>
    <row r="201" spans="1:10">
      <c r="A201" s="2">
        <v>200</v>
      </c>
      <c r="B201" s="3">
        <v>41108</v>
      </c>
      <c r="C201" s="2">
        <v>422</v>
      </c>
      <c r="D201" s="2">
        <v>1924</v>
      </c>
      <c r="E201" s="2">
        <v>1</v>
      </c>
      <c r="F201" s="2">
        <f t="shared" si="16"/>
        <v>5</v>
      </c>
      <c r="G201" s="2">
        <f t="shared" si="15"/>
        <v>19</v>
      </c>
      <c r="H201" s="2" t="str">
        <f t="shared" si="17"/>
        <v>22</v>
      </c>
      <c r="I201" s="2">
        <f t="shared" si="18"/>
        <v>6</v>
      </c>
      <c r="J201" s="2">
        <f t="shared" si="19"/>
        <v>2</v>
      </c>
    </row>
    <row r="202" spans="1:10">
      <c r="A202" s="2">
        <v>201</v>
      </c>
      <c r="B202" s="3">
        <v>41109</v>
      </c>
      <c r="C202" s="2">
        <v>423</v>
      </c>
      <c r="D202" s="2">
        <v>1923</v>
      </c>
      <c r="E202" s="2">
        <v>1</v>
      </c>
      <c r="F202" s="2">
        <f t="shared" si="16"/>
        <v>5</v>
      </c>
      <c r="G202" s="2">
        <f t="shared" si="15"/>
        <v>19</v>
      </c>
      <c r="H202" s="2" t="str">
        <f t="shared" si="17"/>
        <v>23</v>
      </c>
      <c r="I202" s="2">
        <f t="shared" si="18"/>
        <v>6</v>
      </c>
      <c r="J202" s="2">
        <f t="shared" si="19"/>
        <v>3</v>
      </c>
    </row>
    <row r="203" spans="1:10">
      <c r="A203" s="2">
        <v>202</v>
      </c>
      <c r="B203" s="3">
        <v>41110</v>
      </c>
      <c r="C203" s="2">
        <v>424</v>
      </c>
      <c r="D203" s="2">
        <v>1922</v>
      </c>
      <c r="E203" s="2">
        <v>1</v>
      </c>
      <c r="F203" s="2">
        <f t="shared" si="16"/>
        <v>5</v>
      </c>
      <c r="G203" s="2">
        <f t="shared" si="15"/>
        <v>19</v>
      </c>
      <c r="H203" s="2" t="str">
        <f t="shared" si="17"/>
        <v>24</v>
      </c>
      <c r="I203" s="2">
        <f t="shared" si="18"/>
        <v>6</v>
      </c>
      <c r="J203" s="2">
        <f t="shared" si="19"/>
        <v>4</v>
      </c>
    </row>
    <row r="204" spans="1:10">
      <c r="A204" s="2">
        <v>203</v>
      </c>
      <c r="B204" s="3">
        <v>41111</v>
      </c>
      <c r="C204" s="2">
        <v>425</v>
      </c>
      <c r="D204" s="2">
        <v>1921</v>
      </c>
      <c r="E204" s="2">
        <v>1</v>
      </c>
      <c r="F204" s="2">
        <f t="shared" si="16"/>
        <v>5</v>
      </c>
      <c r="G204" s="2">
        <f t="shared" si="15"/>
        <v>19</v>
      </c>
      <c r="H204" s="2" t="str">
        <f t="shared" si="17"/>
        <v>25</v>
      </c>
      <c r="I204" s="2">
        <f t="shared" si="18"/>
        <v>6</v>
      </c>
      <c r="J204" s="2">
        <f t="shared" si="19"/>
        <v>5</v>
      </c>
    </row>
    <row r="205" spans="1:10">
      <c r="A205" s="2">
        <v>204</v>
      </c>
      <c r="B205" s="3">
        <v>41112</v>
      </c>
      <c r="C205" s="2">
        <v>426</v>
      </c>
      <c r="D205" s="2">
        <v>1920</v>
      </c>
      <c r="E205" s="2">
        <v>1</v>
      </c>
      <c r="F205" s="2">
        <f t="shared" si="16"/>
        <v>5</v>
      </c>
      <c r="G205" s="2">
        <f t="shared" si="15"/>
        <v>19</v>
      </c>
      <c r="H205" s="2" t="str">
        <f t="shared" si="17"/>
        <v>26</v>
      </c>
      <c r="I205" s="2">
        <f t="shared" si="18"/>
        <v>6</v>
      </c>
      <c r="J205" s="2">
        <f t="shared" si="19"/>
        <v>6</v>
      </c>
    </row>
    <row r="206" spans="1:10">
      <c r="A206" s="2">
        <v>205</v>
      </c>
      <c r="B206" s="3">
        <v>41113</v>
      </c>
      <c r="C206" s="2">
        <v>427</v>
      </c>
      <c r="D206" s="2">
        <v>1919</v>
      </c>
      <c r="E206" s="2">
        <v>1</v>
      </c>
      <c r="F206" s="2">
        <f t="shared" si="16"/>
        <v>5</v>
      </c>
      <c r="G206" s="2">
        <f t="shared" si="15"/>
        <v>19</v>
      </c>
      <c r="H206" s="2" t="str">
        <f t="shared" si="17"/>
        <v>27</v>
      </c>
      <c r="I206" s="2">
        <f t="shared" si="18"/>
        <v>6</v>
      </c>
      <c r="J206" s="2">
        <f t="shared" si="19"/>
        <v>7</v>
      </c>
    </row>
    <row r="207" spans="1:10">
      <c r="A207" s="2">
        <v>206</v>
      </c>
      <c r="B207" s="3">
        <v>41114</v>
      </c>
      <c r="C207" s="2">
        <v>428</v>
      </c>
      <c r="D207" s="2">
        <v>1918</v>
      </c>
      <c r="E207" s="2">
        <v>1</v>
      </c>
      <c r="F207" s="2">
        <f t="shared" si="16"/>
        <v>5</v>
      </c>
      <c r="G207" s="2">
        <f t="shared" si="15"/>
        <v>19</v>
      </c>
      <c r="H207" s="2" t="str">
        <f t="shared" si="17"/>
        <v>28</v>
      </c>
      <c r="I207" s="2">
        <f t="shared" si="18"/>
        <v>6</v>
      </c>
      <c r="J207" s="2">
        <f t="shared" si="19"/>
        <v>8</v>
      </c>
    </row>
    <row r="208" spans="1:10">
      <c r="A208" s="2">
        <v>207</v>
      </c>
      <c r="B208" s="3">
        <v>41115</v>
      </c>
      <c r="C208" s="2">
        <v>429</v>
      </c>
      <c r="D208" s="2">
        <v>1917</v>
      </c>
      <c r="E208" s="2">
        <v>1</v>
      </c>
      <c r="F208" s="2">
        <f t="shared" si="16"/>
        <v>5</v>
      </c>
      <c r="G208" s="2">
        <f t="shared" si="15"/>
        <v>19</v>
      </c>
      <c r="H208" s="2" t="str">
        <f t="shared" si="17"/>
        <v>29</v>
      </c>
      <c r="I208" s="2">
        <f t="shared" si="18"/>
        <v>6</v>
      </c>
      <c r="J208" s="2">
        <f t="shared" si="19"/>
        <v>9</v>
      </c>
    </row>
    <row r="209" spans="1:10">
      <c r="A209" s="2">
        <v>208</v>
      </c>
      <c r="B209" s="3">
        <v>41116</v>
      </c>
      <c r="C209" s="2">
        <v>430</v>
      </c>
      <c r="D209" s="2">
        <v>1916</v>
      </c>
      <c r="E209" s="2">
        <v>1</v>
      </c>
      <c r="F209" s="2">
        <f t="shared" si="16"/>
        <v>6</v>
      </c>
      <c r="G209" s="2">
        <f t="shared" si="15"/>
        <v>19</v>
      </c>
      <c r="H209" s="2" t="str">
        <f t="shared" si="17"/>
        <v>30</v>
      </c>
      <c r="I209" s="2">
        <f t="shared" si="18"/>
        <v>7</v>
      </c>
      <c r="J209" s="2">
        <f t="shared" si="19"/>
        <v>10</v>
      </c>
    </row>
    <row r="210" spans="1:10">
      <c r="A210" s="2">
        <v>209</v>
      </c>
      <c r="B210" s="3">
        <v>41117</v>
      </c>
      <c r="C210" s="2">
        <v>431</v>
      </c>
      <c r="D210" s="2">
        <v>1915</v>
      </c>
      <c r="E210" s="2">
        <v>1</v>
      </c>
      <c r="F210" s="2">
        <f t="shared" si="16"/>
        <v>6</v>
      </c>
      <c r="G210" s="2">
        <f t="shared" si="15"/>
        <v>19</v>
      </c>
      <c r="H210" s="2" t="str">
        <f t="shared" si="17"/>
        <v>31</v>
      </c>
      <c r="I210" s="2">
        <f t="shared" si="18"/>
        <v>7</v>
      </c>
      <c r="J210" s="2">
        <f t="shared" si="19"/>
        <v>11</v>
      </c>
    </row>
    <row r="211" spans="1:10">
      <c r="A211" s="2">
        <v>210</v>
      </c>
      <c r="B211" s="3">
        <v>41118</v>
      </c>
      <c r="C211" s="2">
        <v>432</v>
      </c>
      <c r="D211" s="2">
        <v>1914</v>
      </c>
      <c r="E211" s="2">
        <v>1</v>
      </c>
      <c r="F211" s="2">
        <f t="shared" si="16"/>
        <v>6</v>
      </c>
      <c r="G211" s="2">
        <f t="shared" si="15"/>
        <v>19</v>
      </c>
      <c r="H211" s="2" t="str">
        <f t="shared" si="17"/>
        <v>32</v>
      </c>
      <c r="I211" s="2">
        <f t="shared" si="18"/>
        <v>7</v>
      </c>
      <c r="J211" s="2">
        <f t="shared" si="19"/>
        <v>12</v>
      </c>
    </row>
    <row r="212" spans="1:10">
      <c r="A212" s="2">
        <v>211</v>
      </c>
      <c r="B212" s="3">
        <v>41119</v>
      </c>
      <c r="C212" s="2">
        <v>433</v>
      </c>
      <c r="D212" s="2">
        <v>1913</v>
      </c>
      <c r="E212" s="2">
        <v>1</v>
      </c>
      <c r="F212" s="2">
        <f t="shared" si="16"/>
        <v>6</v>
      </c>
      <c r="G212" s="2">
        <f t="shared" si="15"/>
        <v>19</v>
      </c>
      <c r="H212" s="2" t="str">
        <f t="shared" si="17"/>
        <v>33</v>
      </c>
      <c r="I212" s="2">
        <f t="shared" si="18"/>
        <v>7</v>
      </c>
      <c r="J212" s="2">
        <f t="shared" si="19"/>
        <v>13</v>
      </c>
    </row>
    <row r="213" spans="1:10">
      <c r="A213" s="2">
        <v>212</v>
      </c>
      <c r="B213" s="3">
        <v>41120</v>
      </c>
      <c r="C213" s="2">
        <v>434</v>
      </c>
      <c r="D213" s="2">
        <v>1912</v>
      </c>
      <c r="E213" s="2">
        <v>1</v>
      </c>
      <c r="F213" s="2">
        <f t="shared" si="16"/>
        <v>6</v>
      </c>
      <c r="G213" s="2">
        <f t="shared" si="15"/>
        <v>19</v>
      </c>
      <c r="H213" s="2" t="str">
        <f t="shared" si="17"/>
        <v>34</v>
      </c>
      <c r="I213" s="2">
        <f t="shared" si="18"/>
        <v>7</v>
      </c>
      <c r="J213" s="2">
        <f t="shared" si="19"/>
        <v>14</v>
      </c>
    </row>
    <row r="214" spans="1:10">
      <c r="A214" s="2">
        <v>213</v>
      </c>
      <c r="B214" s="3">
        <v>41121</v>
      </c>
      <c r="C214" s="2">
        <v>435</v>
      </c>
      <c r="D214" s="2">
        <v>1911</v>
      </c>
      <c r="E214" s="2">
        <v>1</v>
      </c>
      <c r="F214" s="2">
        <f t="shared" si="16"/>
        <v>6</v>
      </c>
      <c r="G214" s="2">
        <f t="shared" si="15"/>
        <v>19</v>
      </c>
      <c r="H214" s="2" t="str">
        <f t="shared" si="17"/>
        <v>35</v>
      </c>
      <c r="I214" s="2">
        <f t="shared" si="18"/>
        <v>7</v>
      </c>
      <c r="J214" s="2">
        <f t="shared" si="19"/>
        <v>15</v>
      </c>
    </row>
    <row r="215" spans="1:10">
      <c r="A215" s="2">
        <v>214</v>
      </c>
      <c r="B215" s="3">
        <v>41122</v>
      </c>
      <c r="C215" s="2">
        <v>436</v>
      </c>
      <c r="D215" s="2">
        <v>1909</v>
      </c>
      <c r="E215" s="2">
        <v>1</v>
      </c>
      <c r="F215" s="2">
        <f t="shared" si="16"/>
        <v>6</v>
      </c>
      <c r="G215" s="2">
        <f t="shared" si="15"/>
        <v>19</v>
      </c>
      <c r="H215" s="2" t="str">
        <f t="shared" si="17"/>
        <v>36</v>
      </c>
      <c r="I215" s="2">
        <f t="shared" si="18"/>
        <v>7</v>
      </c>
      <c r="J215" s="2">
        <f t="shared" si="19"/>
        <v>16</v>
      </c>
    </row>
    <row r="216" spans="1:10">
      <c r="A216" s="2">
        <v>215</v>
      </c>
      <c r="B216" s="3">
        <v>41123</v>
      </c>
      <c r="C216" s="2">
        <v>437</v>
      </c>
      <c r="D216" s="2">
        <v>1908</v>
      </c>
      <c r="E216" s="2">
        <v>1</v>
      </c>
      <c r="F216" s="2">
        <f t="shared" si="16"/>
        <v>6</v>
      </c>
      <c r="G216" s="2">
        <f t="shared" si="15"/>
        <v>19</v>
      </c>
      <c r="H216" s="2" t="str">
        <f t="shared" si="17"/>
        <v>37</v>
      </c>
      <c r="I216" s="2">
        <f t="shared" si="18"/>
        <v>7</v>
      </c>
      <c r="J216" s="2">
        <f t="shared" si="19"/>
        <v>17</v>
      </c>
    </row>
    <row r="217" spans="1:10">
      <c r="A217" s="2">
        <v>216</v>
      </c>
      <c r="B217" s="3">
        <v>41124</v>
      </c>
      <c r="C217" s="2">
        <v>438</v>
      </c>
      <c r="D217" s="2">
        <v>1907</v>
      </c>
      <c r="E217" s="2">
        <v>1</v>
      </c>
      <c r="F217" s="2">
        <f t="shared" si="16"/>
        <v>6</v>
      </c>
      <c r="G217" s="2">
        <f t="shared" si="15"/>
        <v>19</v>
      </c>
      <c r="H217" s="2" t="str">
        <f t="shared" si="17"/>
        <v>38</v>
      </c>
      <c r="I217" s="2">
        <f t="shared" si="18"/>
        <v>7</v>
      </c>
      <c r="J217" s="2">
        <f t="shared" si="19"/>
        <v>18</v>
      </c>
    </row>
    <row r="218" spans="1:10">
      <c r="A218" s="2">
        <v>217</v>
      </c>
      <c r="B218" s="3">
        <v>41125</v>
      </c>
      <c r="C218" s="2">
        <v>439</v>
      </c>
      <c r="D218" s="2">
        <v>1905</v>
      </c>
      <c r="E218" s="2">
        <v>1</v>
      </c>
      <c r="F218" s="2">
        <f t="shared" si="16"/>
        <v>6</v>
      </c>
      <c r="G218" s="2">
        <f t="shared" si="15"/>
        <v>19</v>
      </c>
      <c r="H218" s="2" t="str">
        <f t="shared" si="17"/>
        <v>39</v>
      </c>
      <c r="I218" s="2">
        <f t="shared" si="18"/>
        <v>7</v>
      </c>
      <c r="J218" s="2">
        <f t="shared" si="19"/>
        <v>19</v>
      </c>
    </row>
    <row r="219" spans="1:10">
      <c r="A219" s="2">
        <v>218</v>
      </c>
      <c r="B219" s="3">
        <v>41126</v>
      </c>
      <c r="C219" s="2">
        <v>440</v>
      </c>
      <c r="D219" s="2">
        <v>1904</v>
      </c>
      <c r="E219" s="2">
        <v>1</v>
      </c>
      <c r="F219" s="2">
        <f t="shared" si="16"/>
        <v>6</v>
      </c>
      <c r="G219" s="2">
        <f t="shared" si="15"/>
        <v>19</v>
      </c>
      <c r="H219" s="2" t="str">
        <f t="shared" si="17"/>
        <v>40</v>
      </c>
      <c r="I219" s="2">
        <f t="shared" si="18"/>
        <v>7</v>
      </c>
      <c r="J219" s="2">
        <f t="shared" si="19"/>
        <v>20</v>
      </c>
    </row>
    <row r="220" spans="1:10">
      <c r="A220" s="2">
        <v>219</v>
      </c>
      <c r="B220" s="3">
        <v>41127</v>
      </c>
      <c r="C220" s="2">
        <v>442</v>
      </c>
      <c r="D220" s="2">
        <v>1903</v>
      </c>
      <c r="E220" s="2">
        <v>1</v>
      </c>
      <c r="F220" s="2">
        <f t="shared" si="16"/>
        <v>6</v>
      </c>
      <c r="G220" s="2">
        <f t="shared" si="15"/>
        <v>19</v>
      </c>
      <c r="H220" s="2" t="str">
        <f t="shared" si="17"/>
        <v>42</v>
      </c>
      <c r="I220" s="2">
        <f t="shared" si="18"/>
        <v>7</v>
      </c>
      <c r="J220" s="2">
        <f t="shared" si="19"/>
        <v>22</v>
      </c>
    </row>
    <row r="221" spans="1:10">
      <c r="A221" s="2">
        <v>220</v>
      </c>
      <c r="B221" s="3">
        <v>41128</v>
      </c>
      <c r="C221" s="2">
        <v>443</v>
      </c>
      <c r="D221" s="2">
        <v>1901</v>
      </c>
      <c r="E221" s="2">
        <v>1</v>
      </c>
      <c r="F221" s="2">
        <f t="shared" si="16"/>
        <v>6</v>
      </c>
      <c r="G221" s="2">
        <f t="shared" si="15"/>
        <v>19</v>
      </c>
      <c r="H221" s="2" t="str">
        <f t="shared" si="17"/>
        <v>43</v>
      </c>
      <c r="I221" s="2">
        <f t="shared" si="18"/>
        <v>7</v>
      </c>
      <c r="J221" s="2">
        <f t="shared" si="19"/>
        <v>23</v>
      </c>
    </row>
    <row r="222" spans="1:10">
      <c r="A222" s="2">
        <v>221</v>
      </c>
      <c r="B222" s="3">
        <v>41129</v>
      </c>
      <c r="C222" s="2">
        <v>444</v>
      </c>
      <c r="D222" s="2">
        <v>1900</v>
      </c>
      <c r="E222" s="2">
        <v>1</v>
      </c>
      <c r="F222" s="2">
        <f t="shared" si="16"/>
        <v>6</v>
      </c>
      <c r="G222" s="2">
        <f t="shared" si="15"/>
        <v>19</v>
      </c>
      <c r="H222" s="2" t="str">
        <f t="shared" si="17"/>
        <v>44</v>
      </c>
      <c r="I222" s="2">
        <f t="shared" si="18"/>
        <v>7</v>
      </c>
      <c r="J222" s="2">
        <f t="shared" si="19"/>
        <v>24</v>
      </c>
    </row>
    <row r="223" spans="1:10">
      <c r="A223" s="2">
        <v>222</v>
      </c>
      <c r="B223" s="3">
        <v>41130</v>
      </c>
      <c r="C223" s="2">
        <v>445</v>
      </c>
      <c r="D223" s="2">
        <v>1859</v>
      </c>
      <c r="E223" s="2">
        <v>1</v>
      </c>
      <c r="F223" s="2">
        <f t="shared" si="16"/>
        <v>6</v>
      </c>
      <c r="G223" s="2">
        <f t="shared" si="15"/>
        <v>19</v>
      </c>
      <c r="H223" s="2" t="str">
        <f t="shared" si="17"/>
        <v>45</v>
      </c>
      <c r="I223" s="2">
        <f t="shared" si="18"/>
        <v>7</v>
      </c>
      <c r="J223" s="2">
        <f t="shared" si="19"/>
        <v>25</v>
      </c>
    </row>
    <row r="224" spans="1:10">
      <c r="A224" s="2">
        <v>223</v>
      </c>
      <c r="B224" s="3">
        <v>41131</v>
      </c>
      <c r="C224" s="2">
        <v>446</v>
      </c>
      <c r="D224" s="2">
        <v>1857</v>
      </c>
      <c r="E224" s="2">
        <v>1</v>
      </c>
      <c r="F224" s="2">
        <f t="shared" si="16"/>
        <v>6</v>
      </c>
      <c r="G224" s="2">
        <f t="shared" si="15"/>
        <v>19</v>
      </c>
      <c r="H224" s="2" t="str">
        <f t="shared" si="17"/>
        <v>46</v>
      </c>
      <c r="I224" s="2">
        <f t="shared" si="18"/>
        <v>7</v>
      </c>
      <c r="J224" s="2">
        <f t="shared" si="19"/>
        <v>26</v>
      </c>
    </row>
    <row r="225" spans="1:10">
      <c r="A225" s="2">
        <v>224</v>
      </c>
      <c r="B225" s="3">
        <v>41132</v>
      </c>
      <c r="C225" s="2">
        <v>447</v>
      </c>
      <c r="D225" s="2">
        <v>1856</v>
      </c>
      <c r="E225" s="2">
        <v>1</v>
      </c>
      <c r="F225" s="2">
        <f t="shared" si="16"/>
        <v>6</v>
      </c>
      <c r="G225" s="2">
        <f t="shared" si="15"/>
        <v>19</v>
      </c>
      <c r="H225" s="2" t="str">
        <f t="shared" si="17"/>
        <v>47</v>
      </c>
      <c r="I225" s="2">
        <f t="shared" si="18"/>
        <v>7</v>
      </c>
      <c r="J225" s="2">
        <f t="shared" si="19"/>
        <v>27</v>
      </c>
    </row>
    <row r="226" spans="1:10">
      <c r="A226" s="2">
        <v>225</v>
      </c>
      <c r="B226" s="3">
        <v>41133</v>
      </c>
      <c r="C226" s="2">
        <v>448</v>
      </c>
      <c r="D226" s="2">
        <v>1854</v>
      </c>
      <c r="E226" s="2">
        <v>1</v>
      </c>
      <c r="F226" s="2">
        <f t="shared" si="16"/>
        <v>6</v>
      </c>
      <c r="G226" s="2">
        <f t="shared" si="15"/>
        <v>19</v>
      </c>
      <c r="H226" s="2" t="str">
        <f t="shared" si="17"/>
        <v>48</v>
      </c>
      <c r="I226" s="2">
        <f t="shared" si="18"/>
        <v>7</v>
      </c>
      <c r="J226" s="2">
        <f t="shared" si="19"/>
        <v>28</v>
      </c>
    </row>
    <row r="227" spans="1:10">
      <c r="A227" s="2">
        <v>226</v>
      </c>
      <c r="B227" s="3">
        <v>41134</v>
      </c>
      <c r="C227" s="2">
        <v>449</v>
      </c>
      <c r="D227" s="2">
        <v>1853</v>
      </c>
      <c r="E227" s="2">
        <v>1</v>
      </c>
      <c r="F227" s="2">
        <f t="shared" si="16"/>
        <v>6</v>
      </c>
      <c r="G227" s="2">
        <f t="shared" si="15"/>
        <v>19</v>
      </c>
      <c r="H227" s="2" t="str">
        <f t="shared" si="17"/>
        <v>49</v>
      </c>
      <c r="I227" s="2">
        <f t="shared" si="18"/>
        <v>7</v>
      </c>
      <c r="J227" s="2">
        <f t="shared" si="19"/>
        <v>29</v>
      </c>
    </row>
    <row r="228" spans="1:10">
      <c r="A228" s="2">
        <v>227</v>
      </c>
      <c r="B228" s="3">
        <v>41135</v>
      </c>
      <c r="C228" s="2">
        <v>451</v>
      </c>
      <c r="D228" s="2">
        <v>1851</v>
      </c>
      <c r="E228" s="2">
        <v>1</v>
      </c>
      <c r="F228" s="2">
        <f t="shared" si="16"/>
        <v>6</v>
      </c>
      <c r="G228" s="2">
        <f t="shared" si="15"/>
        <v>19</v>
      </c>
      <c r="H228" s="2" t="str">
        <f t="shared" si="17"/>
        <v>51</v>
      </c>
      <c r="I228" s="2">
        <f t="shared" si="18"/>
        <v>7</v>
      </c>
      <c r="J228" s="2">
        <f t="shared" si="19"/>
        <v>31</v>
      </c>
    </row>
    <row r="229" spans="1:10">
      <c r="A229" s="2">
        <v>228</v>
      </c>
      <c r="B229" s="3">
        <v>41136</v>
      </c>
      <c r="C229" s="2">
        <v>452</v>
      </c>
      <c r="D229" s="2">
        <v>1850</v>
      </c>
      <c r="E229" s="2">
        <v>1</v>
      </c>
      <c r="F229" s="2">
        <f t="shared" si="16"/>
        <v>6</v>
      </c>
      <c r="G229" s="2">
        <f t="shared" si="15"/>
        <v>19</v>
      </c>
      <c r="H229" s="2" t="str">
        <f t="shared" si="17"/>
        <v>52</v>
      </c>
      <c r="I229" s="2">
        <f t="shared" si="18"/>
        <v>7</v>
      </c>
      <c r="J229" s="2">
        <f t="shared" si="19"/>
        <v>32</v>
      </c>
    </row>
    <row r="230" spans="1:10">
      <c r="A230" s="2">
        <v>229</v>
      </c>
      <c r="B230" s="3">
        <v>41137</v>
      </c>
      <c r="C230" s="2">
        <v>453</v>
      </c>
      <c r="D230" s="2">
        <v>1848</v>
      </c>
      <c r="E230" s="2">
        <v>1</v>
      </c>
      <c r="F230" s="2">
        <f t="shared" si="16"/>
        <v>6</v>
      </c>
      <c r="G230" s="2">
        <f t="shared" si="15"/>
        <v>19</v>
      </c>
      <c r="H230" s="2" t="str">
        <f t="shared" si="17"/>
        <v>53</v>
      </c>
      <c r="I230" s="2">
        <f t="shared" si="18"/>
        <v>7</v>
      </c>
      <c r="J230" s="2">
        <f t="shared" si="19"/>
        <v>33</v>
      </c>
    </row>
    <row r="231" spans="1:10">
      <c r="A231" s="2">
        <v>230</v>
      </c>
      <c r="B231" s="3">
        <v>41138</v>
      </c>
      <c r="C231" s="2">
        <v>454</v>
      </c>
      <c r="D231" s="2">
        <v>1847</v>
      </c>
      <c r="E231" s="2">
        <v>1</v>
      </c>
      <c r="F231" s="2">
        <f t="shared" si="16"/>
        <v>6</v>
      </c>
      <c r="G231" s="2">
        <f t="shared" si="15"/>
        <v>19</v>
      </c>
      <c r="H231" s="2" t="str">
        <f t="shared" si="17"/>
        <v>54</v>
      </c>
      <c r="I231" s="2">
        <f t="shared" si="18"/>
        <v>7</v>
      </c>
      <c r="J231" s="2">
        <f t="shared" si="19"/>
        <v>34</v>
      </c>
    </row>
    <row r="232" spans="1:10">
      <c r="A232" s="2">
        <v>231</v>
      </c>
      <c r="B232" s="3">
        <v>41139</v>
      </c>
      <c r="C232" s="2">
        <v>455</v>
      </c>
      <c r="D232" s="2">
        <v>1845</v>
      </c>
      <c r="E232" s="2">
        <v>1</v>
      </c>
      <c r="F232" s="2">
        <f t="shared" si="16"/>
        <v>6</v>
      </c>
      <c r="G232" s="2">
        <f t="shared" si="15"/>
        <v>19</v>
      </c>
      <c r="H232" s="2" t="str">
        <f t="shared" si="17"/>
        <v>55</v>
      </c>
      <c r="I232" s="2">
        <f t="shared" si="18"/>
        <v>7</v>
      </c>
      <c r="J232" s="2">
        <f t="shared" si="19"/>
        <v>35</v>
      </c>
    </row>
    <row r="233" spans="1:10">
      <c r="A233" s="2">
        <v>232</v>
      </c>
      <c r="B233" s="3">
        <v>41140</v>
      </c>
      <c r="C233" s="2">
        <v>456</v>
      </c>
      <c r="D233" s="2">
        <v>1844</v>
      </c>
      <c r="E233" s="2">
        <v>1</v>
      </c>
      <c r="F233" s="2">
        <f t="shared" si="16"/>
        <v>6</v>
      </c>
      <c r="G233" s="2">
        <f t="shared" si="15"/>
        <v>19</v>
      </c>
      <c r="H233" s="2" t="str">
        <f t="shared" si="17"/>
        <v>56</v>
      </c>
      <c r="I233" s="2">
        <f t="shared" si="18"/>
        <v>7</v>
      </c>
      <c r="J233" s="2">
        <f t="shared" si="19"/>
        <v>36</v>
      </c>
    </row>
    <row r="234" spans="1:10">
      <c r="A234" s="2">
        <v>233</v>
      </c>
      <c r="B234" s="3">
        <v>41141</v>
      </c>
      <c r="C234" s="2">
        <v>457</v>
      </c>
      <c r="D234" s="2">
        <v>1842</v>
      </c>
      <c r="E234" s="2">
        <v>1</v>
      </c>
      <c r="F234" s="2">
        <f t="shared" si="16"/>
        <v>6</v>
      </c>
      <c r="G234" s="2">
        <f t="shared" si="15"/>
        <v>19</v>
      </c>
      <c r="H234" s="2" t="str">
        <f t="shared" si="17"/>
        <v>57</v>
      </c>
      <c r="I234" s="2">
        <f t="shared" si="18"/>
        <v>7</v>
      </c>
      <c r="J234" s="2">
        <f t="shared" si="19"/>
        <v>37</v>
      </c>
    </row>
    <row r="235" spans="1:10">
      <c r="A235" s="2">
        <v>234</v>
      </c>
      <c r="B235" s="3">
        <v>41142</v>
      </c>
      <c r="C235" s="2">
        <v>458</v>
      </c>
      <c r="D235" s="2">
        <v>1840</v>
      </c>
      <c r="E235" s="2">
        <v>1</v>
      </c>
      <c r="F235" s="2">
        <f t="shared" si="16"/>
        <v>6</v>
      </c>
      <c r="G235" s="2">
        <f t="shared" si="15"/>
        <v>19</v>
      </c>
      <c r="H235" s="2" t="str">
        <f t="shared" si="17"/>
        <v>58</v>
      </c>
      <c r="I235" s="2">
        <f t="shared" si="18"/>
        <v>7</v>
      </c>
      <c r="J235" s="2">
        <f t="shared" si="19"/>
        <v>38</v>
      </c>
    </row>
    <row r="236" spans="1:10">
      <c r="A236" s="2">
        <v>235</v>
      </c>
      <c r="B236" s="3">
        <v>41143</v>
      </c>
      <c r="C236" s="2">
        <v>500</v>
      </c>
      <c r="D236" s="2">
        <v>1839</v>
      </c>
      <c r="E236" s="2">
        <v>1</v>
      </c>
      <c r="F236" s="2">
        <f t="shared" si="16"/>
        <v>6</v>
      </c>
      <c r="G236" s="2">
        <f t="shared" si="15"/>
        <v>19</v>
      </c>
      <c r="H236" s="2" t="str">
        <f t="shared" si="17"/>
        <v>00</v>
      </c>
      <c r="I236" s="2">
        <f t="shared" si="18"/>
        <v>6</v>
      </c>
      <c r="J236" s="2">
        <f t="shared" si="19"/>
        <v>40</v>
      </c>
    </row>
    <row r="237" spans="1:10">
      <c r="A237" s="2">
        <v>236</v>
      </c>
      <c r="B237" s="3">
        <v>41144</v>
      </c>
      <c r="C237" s="2">
        <v>501</v>
      </c>
      <c r="D237" s="2">
        <v>1837</v>
      </c>
      <c r="E237" s="2">
        <v>1</v>
      </c>
      <c r="F237" s="2">
        <f t="shared" si="16"/>
        <v>6</v>
      </c>
      <c r="G237" s="2">
        <f t="shared" si="15"/>
        <v>19</v>
      </c>
      <c r="H237" s="2" t="str">
        <f t="shared" si="17"/>
        <v>01</v>
      </c>
      <c r="I237" s="2">
        <f t="shared" si="18"/>
        <v>6</v>
      </c>
      <c r="J237" s="2">
        <f t="shared" si="19"/>
        <v>41</v>
      </c>
    </row>
    <row r="238" spans="1:10">
      <c r="A238" s="2">
        <v>237</v>
      </c>
      <c r="B238" s="3">
        <v>41145</v>
      </c>
      <c r="C238" s="2">
        <v>502</v>
      </c>
      <c r="D238" s="2">
        <v>1835</v>
      </c>
      <c r="E238" s="2">
        <v>1</v>
      </c>
      <c r="F238" s="2">
        <f t="shared" si="16"/>
        <v>6</v>
      </c>
      <c r="G238" s="2">
        <f t="shared" si="15"/>
        <v>19</v>
      </c>
      <c r="H238" s="2" t="str">
        <f t="shared" si="17"/>
        <v>02</v>
      </c>
      <c r="I238" s="2">
        <f t="shared" si="18"/>
        <v>6</v>
      </c>
      <c r="J238" s="2">
        <f t="shared" si="19"/>
        <v>42</v>
      </c>
    </row>
    <row r="239" spans="1:10">
      <c r="A239" s="2">
        <v>238</v>
      </c>
      <c r="B239" s="3">
        <v>41146</v>
      </c>
      <c r="C239" s="2">
        <v>503</v>
      </c>
      <c r="D239" s="2">
        <v>1834</v>
      </c>
      <c r="E239" s="2">
        <v>1</v>
      </c>
      <c r="F239" s="2">
        <f t="shared" si="16"/>
        <v>6</v>
      </c>
      <c r="G239" s="2">
        <f t="shared" si="15"/>
        <v>19</v>
      </c>
      <c r="H239" s="2" t="str">
        <f t="shared" si="17"/>
        <v>03</v>
      </c>
      <c r="I239" s="2">
        <f t="shared" si="18"/>
        <v>6</v>
      </c>
      <c r="J239" s="2">
        <f t="shared" si="19"/>
        <v>43</v>
      </c>
    </row>
    <row r="240" spans="1:10">
      <c r="A240" s="2">
        <v>239</v>
      </c>
      <c r="B240" s="3">
        <v>41147</v>
      </c>
      <c r="C240" s="2">
        <v>504</v>
      </c>
      <c r="D240" s="2">
        <v>1832</v>
      </c>
      <c r="E240" s="2">
        <v>1</v>
      </c>
      <c r="F240" s="2">
        <f t="shared" si="16"/>
        <v>6</v>
      </c>
      <c r="G240" s="2">
        <f t="shared" si="15"/>
        <v>19</v>
      </c>
      <c r="H240" s="2" t="str">
        <f t="shared" si="17"/>
        <v>04</v>
      </c>
      <c r="I240" s="2">
        <f t="shared" si="18"/>
        <v>6</v>
      </c>
      <c r="J240" s="2">
        <f t="shared" si="19"/>
        <v>44</v>
      </c>
    </row>
    <row r="241" spans="1:10">
      <c r="A241" s="2">
        <v>240</v>
      </c>
      <c r="B241" s="3">
        <v>41148</v>
      </c>
      <c r="C241" s="2">
        <v>505</v>
      </c>
      <c r="D241" s="2">
        <v>1830</v>
      </c>
      <c r="E241" s="2">
        <v>1</v>
      </c>
      <c r="F241" s="2">
        <f t="shared" si="16"/>
        <v>6</v>
      </c>
      <c r="G241" s="2">
        <f t="shared" si="15"/>
        <v>19</v>
      </c>
      <c r="H241" s="2" t="str">
        <f t="shared" si="17"/>
        <v>05</v>
      </c>
      <c r="I241" s="2">
        <f t="shared" si="18"/>
        <v>6</v>
      </c>
      <c r="J241" s="2">
        <f t="shared" si="19"/>
        <v>45</v>
      </c>
    </row>
    <row r="242" spans="1:10">
      <c r="A242" s="2">
        <v>241</v>
      </c>
      <c r="B242" s="3">
        <v>41149</v>
      </c>
      <c r="C242" s="2">
        <v>506</v>
      </c>
      <c r="D242" s="2">
        <v>1828</v>
      </c>
      <c r="E242" s="2">
        <v>1</v>
      </c>
      <c r="F242" s="2">
        <f t="shared" si="16"/>
        <v>6</v>
      </c>
      <c r="G242" s="2">
        <f t="shared" si="15"/>
        <v>18</v>
      </c>
      <c r="H242" s="2" t="str">
        <f t="shared" si="17"/>
        <v>06</v>
      </c>
      <c r="I242" s="2">
        <f t="shared" si="18"/>
        <v>6</v>
      </c>
      <c r="J242" s="2">
        <f t="shared" si="19"/>
        <v>46</v>
      </c>
    </row>
    <row r="243" spans="1:10">
      <c r="A243" s="2">
        <v>242</v>
      </c>
      <c r="B243" s="3">
        <v>41150</v>
      </c>
      <c r="C243" s="2">
        <v>507</v>
      </c>
      <c r="D243" s="2">
        <v>1827</v>
      </c>
      <c r="E243" s="2">
        <v>1</v>
      </c>
      <c r="F243" s="2">
        <f t="shared" si="16"/>
        <v>6</v>
      </c>
      <c r="G243" s="2">
        <f t="shared" si="15"/>
        <v>18</v>
      </c>
      <c r="H243" s="2" t="str">
        <f t="shared" si="17"/>
        <v>07</v>
      </c>
      <c r="I243" s="2">
        <f t="shared" si="18"/>
        <v>6</v>
      </c>
      <c r="J243" s="2">
        <f t="shared" si="19"/>
        <v>47</v>
      </c>
    </row>
    <row r="244" spans="1:10">
      <c r="A244" s="2">
        <v>243</v>
      </c>
      <c r="B244" s="3">
        <v>41151</v>
      </c>
      <c r="C244" s="2">
        <v>509</v>
      </c>
      <c r="D244" s="2">
        <v>1825</v>
      </c>
      <c r="E244" s="2">
        <v>1</v>
      </c>
      <c r="F244" s="2">
        <f t="shared" si="16"/>
        <v>6</v>
      </c>
      <c r="G244" s="2">
        <f t="shared" si="15"/>
        <v>18</v>
      </c>
      <c r="H244" s="2" t="str">
        <f t="shared" si="17"/>
        <v>09</v>
      </c>
      <c r="I244" s="2">
        <f t="shared" si="18"/>
        <v>6</v>
      </c>
      <c r="J244" s="2">
        <f t="shared" si="19"/>
        <v>49</v>
      </c>
    </row>
    <row r="245" spans="1:10">
      <c r="A245" s="2">
        <v>244</v>
      </c>
      <c r="B245" s="3">
        <v>41152</v>
      </c>
      <c r="C245" s="2">
        <v>510</v>
      </c>
      <c r="D245" s="2">
        <v>1823</v>
      </c>
      <c r="E245" s="2">
        <v>1</v>
      </c>
      <c r="F245" s="2">
        <f t="shared" si="16"/>
        <v>6</v>
      </c>
      <c r="G245" s="2">
        <f t="shared" si="15"/>
        <v>18</v>
      </c>
      <c r="H245" s="2" t="str">
        <f t="shared" si="17"/>
        <v>10</v>
      </c>
      <c r="I245" s="2">
        <f t="shared" si="18"/>
        <v>6</v>
      </c>
      <c r="J245" s="2">
        <f t="shared" si="19"/>
        <v>50</v>
      </c>
    </row>
    <row r="246" spans="1:10">
      <c r="A246" s="2">
        <v>245</v>
      </c>
      <c r="B246" s="3">
        <v>41153</v>
      </c>
      <c r="C246" s="2">
        <v>511</v>
      </c>
      <c r="D246" s="2">
        <v>1821</v>
      </c>
      <c r="E246" s="2">
        <v>1</v>
      </c>
      <c r="F246" s="2">
        <f t="shared" si="16"/>
        <v>6</v>
      </c>
      <c r="G246" s="2">
        <f t="shared" si="15"/>
        <v>18</v>
      </c>
      <c r="H246" s="2" t="str">
        <f t="shared" si="17"/>
        <v>11</v>
      </c>
      <c r="I246" s="2">
        <f t="shared" si="18"/>
        <v>6</v>
      </c>
      <c r="J246" s="2">
        <f t="shared" si="19"/>
        <v>51</v>
      </c>
    </row>
    <row r="247" spans="1:10">
      <c r="A247" s="2">
        <v>246</v>
      </c>
      <c r="B247" s="3">
        <v>41154</v>
      </c>
      <c r="C247" s="2">
        <v>512</v>
      </c>
      <c r="D247" s="2">
        <v>1820</v>
      </c>
      <c r="E247" s="2">
        <v>1</v>
      </c>
      <c r="F247" s="2">
        <f t="shared" si="16"/>
        <v>6</v>
      </c>
      <c r="G247" s="2">
        <f t="shared" si="15"/>
        <v>18</v>
      </c>
      <c r="H247" s="2" t="str">
        <f t="shared" si="17"/>
        <v>12</v>
      </c>
      <c r="I247" s="2">
        <f t="shared" si="18"/>
        <v>6</v>
      </c>
      <c r="J247" s="2">
        <f t="shared" si="19"/>
        <v>52</v>
      </c>
    </row>
    <row r="248" spans="1:10">
      <c r="A248" s="2">
        <v>247</v>
      </c>
      <c r="B248" s="3">
        <v>41155</v>
      </c>
      <c r="C248" s="2">
        <v>513</v>
      </c>
      <c r="D248" s="2">
        <v>1818</v>
      </c>
      <c r="E248" s="2">
        <v>1</v>
      </c>
      <c r="F248" s="2">
        <f t="shared" si="16"/>
        <v>6</v>
      </c>
      <c r="G248" s="2">
        <f t="shared" si="15"/>
        <v>18</v>
      </c>
      <c r="H248" s="2" t="str">
        <f t="shared" si="17"/>
        <v>13</v>
      </c>
      <c r="I248" s="2">
        <f t="shared" si="18"/>
        <v>6</v>
      </c>
      <c r="J248" s="2">
        <f t="shared" si="19"/>
        <v>53</v>
      </c>
    </row>
    <row r="249" spans="1:10">
      <c r="A249" s="2">
        <v>248</v>
      </c>
      <c r="B249" s="3">
        <v>41156</v>
      </c>
      <c r="C249" s="2">
        <v>514</v>
      </c>
      <c r="D249" s="2">
        <v>1816</v>
      </c>
      <c r="E249" s="2">
        <v>1</v>
      </c>
      <c r="F249" s="2">
        <f t="shared" si="16"/>
        <v>6</v>
      </c>
      <c r="G249" s="2">
        <f t="shared" si="15"/>
        <v>18</v>
      </c>
      <c r="H249" s="2" t="str">
        <f t="shared" si="17"/>
        <v>14</v>
      </c>
      <c r="I249" s="2">
        <f t="shared" si="18"/>
        <v>6</v>
      </c>
      <c r="J249" s="2">
        <f t="shared" si="19"/>
        <v>54</v>
      </c>
    </row>
    <row r="250" spans="1:10">
      <c r="A250" s="2">
        <v>249</v>
      </c>
      <c r="B250" s="3">
        <v>41157</v>
      </c>
      <c r="C250" s="2">
        <v>515</v>
      </c>
      <c r="D250" s="2">
        <v>1814</v>
      </c>
      <c r="E250" s="2">
        <v>1</v>
      </c>
      <c r="F250" s="2">
        <f t="shared" si="16"/>
        <v>6</v>
      </c>
      <c r="G250" s="2">
        <f t="shared" si="15"/>
        <v>18</v>
      </c>
      <c r="H250" s="2" t="str">
        <f t="shared" si="17"/>
        <v>15</v>
      </c>
      <c r="I250" s="2">
        <f t="shared" si="18"/>
        <v>6</v>
      </c>
      <c r="J250" s="2">
        <f t="shared" si="19"/>
        <v>55</v>
      </c>
    </row>
    <row r="251" spans="1:10">
      <c r="A251" s="2">
        <v>250</v>
      </c>
      <c r="B251" s="3">
        <v>41158</v>
      </c>
      <c r="C251" s="2">
        <v>516</v>
      </c>
      <c r="D251" s="2">
        <v>1813</v>
      </c>
      <c r="E251" s="2">
        <v>1</v>
      </c>
      <c r="F251" s="2">
        <f t="shared" si="16"/>
        <v>6</v>
      </c>
      <c r="G251" s="2">
        <f t="shared" si="15"/>
        <v>18</v>
      </c>
      <c r="H251" s="2" t="str">
        <f t="shared" si="17"/>
        <v>16</v>
      </c>
      <c r="I251" s="2">
        <f t="shared" si="18"/>
        <v>6</v>
      </c>
      <c r="J251" s="2">
        <f t="shared" si="19"/>
        <v>56</v>
      </c>
    </row>
    <row r="252" spans="1:10">
      <c r="A252" s="2">
        <v>251</v>
      </c>
      <c r="B252" s="3">
        <v>41159</v>
      </c>
      <c r="C252" s="2">
        <v>518</v>
      </c>
      <c r="D252" s="2">
        <v>1811</v>
      </c>
      <c r="E252" s="2">
        <v>1</v>
      </c>
      <c r="F252" s="2">
        <f t="shared" si="16"/>
        <v>6</v>
      </c>
      <c r="G252" s="2">
        <f t="shared" si="15"/>
        <v>18</v>
      </c>
      <c r="H252" s="2" t="str">
        <f t="shared" si="17"/>
        <v>18</v>
      </c>
      <c r="I252" s="2">
        <f t="shared" si="18"/>
        <v>6</v>
      </c>
      <c r="J252" s="2">
        <f t="shared" si="19"/>
        <v>58</v>
      </c>
    </row>
    <row r="253" spans="1:10">
      <c r="A253" s="2">
        <v>252</v>
      </c>
      <c r="B253" s="3">
        <v>41160</v>
      </c>
      <c r="C253" s="2">
        <v>519</v>
      </c>
      <c r="D253" s="2">
        <v>1809</v>
      </c>
      <c r="E253" s="2">
        <v>1</v>
      </c>
      <c r="F253" s="2">
        <f t="shared" si="16"/>
        <v>6</v>
      </c>
      <c r="G253" s="2">
        <f t="shared" si="15"/>
        <v>18</v>
      </c>
      <c r="H253" s="2" t="str">
        <f t="shared" si="17"/>
        <v>19</v>
      </c>
      <c r="I253" s="2">
        <f t="shared" si="18"/>
        <v>6</v>
      </c>
      <c r="J253" s="2">
        <f t="shared" si="19"/>
        <v>59</v>
      </c>
    </row>
    <row r="254" spans="1:10">
      <c r="A254" s="2">
        <v>253</v>
      </c>
      <c r="B254" s="3">
        <v>41161</v>
      </c>
      <c r="C254" s="2">
        <v>520</v>
      </c>
      <c r="D254" s="2">
        <v>1807</v>
      </c>
      <c r="E254" s="2">
        <v>1</v>
      </c>
      <c r="F254" s="2">
        <f t="shared" si="16"/>
        <v>6</v>
      </c>
      <c r="G254" s="2">
        <f t="shared" si="15"/>
        <v>18</v>
      </c>
      <c r="H254" s="2" t="str">
        <f t="shared" si="17"/>
        <v>20</v>
      </c>
      <c r="I254" s="2">
        <f t="shared" si="18"/>
        <v>7</v>
      </c>
      <c r="J254" s="2">
        <f t="shared" si="19"/>
        <v>0</v>
      </c>
    </row>
    <row r="255" spans="1:10">
      <c r="A255" s="2">
        <v>254</v>
      </c>
      <c r="B255" s="3">
        <v>41162</v>
      </c>
      <c r="C255" s="2">
        <v>521</v>
      </c>
      <c r="D255" s="2">
        <v>1805</v>
      </c>
      <c r="E255" s="2">
        <v>1</v>
      </c>
      <c r="F255" s="2">
        <f t="shared" si="16"/>
        <v>6</v>
      </c>
      <c r="G255" s="2">
        <f t="shared" si="15"/>
        <v>18</v>
      </c>
      <c r="H255" s="2" t="str">
        <f t="shared" si="17"/>
        <v>21</v>
      </c>
      <c r="I255" s="2">
        <f t="shared" si="18"/>
        <v>7</v>
      </c>
      <c r="J255" s="2">
        <f t="shared" si="19"/>
        <v>1</v>
      </c>
    </row>
    <row r="256" spans="1:10">
      <c r="A256" s="2">
        <v>255</v>
      </c>
      <c r="B256" s="3">
        <v>41163</v>
      </c>
      <c r="C256" s="2">
        <v>522</v>
      </c>
      <c r="D256" s="2">
        <v>1803</v>
      </c>
      <c r="E256" s="2">
        <v>1</v>
      </c>
      <c r="F256" s="2">
        <f t="shared" si="16"/>
        <v>6</v>
      </c>
      <c r="G256" s="2">
        <f t="shared" si="15"/>
        <v>18</v>
      </c>
      <c r="H256" s="2" t="str">
        <f t="shared" si="17"/>
        <v>22</v>
      </c>
      <c r="I256" s="2">
        <f t="shared" si="18"/>
        <v>7</v>
      </c>
      <c r="J256" s="2">
        <f t="shared" si="19"/>
        <v>2</v>
      </c>
    </row>
    <row r="257" spans="1:10">
      <c r="A257" s="2">
        <v>256</v>
      </c>
      <c r="B257" s="3">
        <v>41164</v>
      </c>
      <c r="C257" s="2">
        <v>523</v>
      </c>
      <c r="D257" s="2">
        <v>1802</v>
      </c>
      <c r="E257" s="2">
        <v>1</v>
      </c>
      <c r="F257" s="2">
        <f t="shared" si="16"/>
        <v>6</v>
      </c>
      <c r="G257" s="2">
        <f t="shared" si="15"/>
        <v>18</v>
      </c>
      <c r="H257" s="2" t="str">
        <f t="shared" si="17"/>
        <v>23</v>
      </c>
      <c r="I257" s="2">
        <f t="shared" si="18"/>
        <v>7</v>
      </c>
      <c r="J257" s="2">
        <f t="shared" si="19"/>
        <v>3</v>
      </c>
    </row>
    <row r="258" spans="1:10">
      <c r="A258" s="2">
        <v>257</v>
      </c>
      <c r="B258" s="3">
        <v>41165</v>
      </c>
      <c r="C258" s="2">
        <v>524</v>
      </c>
      <c r="D258" s="2">
        <v>1800</v>
      </c>
      <c r="E258" s="2">
        <v>1</v>
      </c>
      <c r="F258" s="2">
        <f t="shared" si="16"/>
        <v>6</v>
      </c>
      <c r="G258" s="2">
        <f t="shared" ref="G258:G321" si="20">ROUND(INT(D258/100)+RIGHT(D258,2)/60,0)</f>
        <v>18</v>
      </c>
      <c r="H258" s="2" t="str">
        <f t="shared" si="17"/>
        <v>24</v>
      </c>
      <c r="I258" s="2">
        <f t="shared" si="18"/>
        <v>7</v>
      </c>
      <c r="J258" s="2">
        <f t="shared" si="19"/>
        <v>4</v>
      </c>
    </row>
    <row r="259" spans="1:10">
      <c r="A259" s="2">
        <v>258</v>
      </c>
      <c r="B259" s="3">
        <v>41166</v>
      </c>
      <c r="C259" s="2">
        <v>525</v>
      </c>
      <c r="D259" s="2">
        <v>1758</v>
      </c>
      <c r="E259" s="2">
        <v>1</v>
      </c>
      <c r="F259" s="2">
        <f t="shared" ref="F259:F322" si="21">ROUND(INT(C259/100)+RIGHT(C259,2)/60,0)+E259</f>
        <v>6</v>
      </c>
      <c r="G259" s="2">
        <f t="shared" si="20"/>
        <v>18</v>
      </c>
      <c r="H259" s="2" t="str">
        <f t="shared" ref="H259:H322" si="22">RIGHT(C259,2)</f>
        <v>25</v>
      </c>
      <c r="I259" s="2">
        <f t="shared" ref="I259:I322" si="23">INT(($F259*60+$H259+$L$1)/60)</f>
        <v>7</v>
      </c>
      <c r="J259" s="2">
        <f t="shared" ref="J259:J322" si="24">$F259*60+$H259+$L$1-I259*60</f>
        <v>5</v>
      </c>
    </row>
    <row r="260" spans="1:10">
      <c r="A260" s="2">
        <v>259</v>
      </c>
      <c r="B260" s="3">
        <v>41167</v>
      </c>
      <c r="C260" s="2">
        <v>527</v>
      </c>
      <c r="D260" s="2">
        <v>1756</v>
      </c>
      <c r="E260" s="2">
        <v>1</v>
      </c>
      <c r="F260" s="2">
        <f t="shared" si="21"/>
        <v>6</v>
      </c>
      <c r="G260" s="2">
        <f t="shared" si="20"/>
        <v>18</v>
      </c>
      <c r="H260" s="2" t="str">
        <f t="shared" si="22"/>
        <v>27</v>
      </c>
      <c r="I260" s="2">
        <f t="shared" si="23"/>
        <v>7</v>
      </c>
      <c r="J260" s="2">
        <f t="shared" si="24"/>
        <v>7</v>
      </c>
    </row>
    <row r="261" spans="1:10">
      <c r="A261" s="2">
        <v>260</v>
      </c>
      <c r="B261" s="3">
        <v>41168</v>
      </c>
      <c r="C261" s="2">
        <v>528</v>
      </c>
      <c r="D261" s="2">
        <v>1754</v>
      </c>
      <c r="E261" s="2">
        <v>1</v>
      </c>
      <c r="F261" s="2">
        <f t="shared" si="21"/>
        <v>6</v>
      </c>
      <c r="G261" s="2">
        <f t="shared" si="20"/>
        <v>18</v>
      </c>
      <c r="H261" s="2" t="str">
        <f t="shared" si="22"/>
        <v>28</v>
      </c>
      <c r="I261" s="2">
        <f t="shared" si="23"/>
        <v>7</v>
      </c>
      <c r="J261" s="2">
        <f t="shared" si="24"/>
        <v>8</v>
      </c>
    </row>
    <row r="262" spans="1:10">
      <c r="A262" s="2">
        <v>261</v>
      </c>
      <c r="B262" s="3">
        <v>41169</v>
      </c>
      <c r="C262" s="2">
        <v>529</v>
      </c>
      <c r="D262" s="2">
        <v>1752</v>
      </c>
      <c r="E262" s="2">
        <v>1</v>
      </c>
      <c r="F262" s="2">
        <f t="shared" si="21"/>
        <v>6</v>
      </c>
      <c r="G262" s="2">
        <f t="shared" si="20"/>
        <v>18</v>
      </c>
      <c r="H262" s="2" t="str">
        <f t="shared" si="22"/>
        <v>29</v>
      </c>
      <c r="I262" s="2">
        <f t="shared" si="23"/>
        <v>7</v>
      </c>
      <c r="J262" s="2">
        <f t="shared" si="24"/>
        <v>9</v>
      </c>
    </row>
    <row r="263" spans="1:10">
      <c r="A263" s="2">
        <v>262</v>
      </c>
      <c r="B263" s="3">
        <v>41170</v>
      </c>
      <c r="C263" s="2">
        <v>530</v>
      </c>
      <c r="D263" s="2">
        <v>1751</v>
      </c>
      <c r="E263" s="2">
        <v>1</v>
      </c>
      <c r="F263" s="2">
        <f t="shared" si="21"/>
        <v>7</v>
      </c>
      <c r="G263" s="2">
        <f t="shared" si="20"/>
        <v>18</v>
      </c>
      <c r="H263" s="2" t="str">
        <f t="shared" si="22"/>
        <v>30</v>
      </c>
      <c r="I263" s="2">
        <f t="shared" si="23"/>
        <v>8</v>
      </c>
      <c r="J263" s="2">
        <f t="shared" si="24"/>
        <v>10</v>
      </c>
    </row>
    <row r="264" spans="1:10">
      <c r="A264" s="2">
        <v>263</v>
      </c>
      <c r="B264" s="3">
        <v>41171</v>
      </c>
      <c r="C264" s="2">
        <v>531</v>
      </c>
      <c r="D264" s="2">
        <v>1749</v>
      </c>
      <c r="E264" s="2">
        <v>1</v>
      </c>
      <c r="F264" s="2">
        <f t="shared" si="21"/>
        <v>7</v>
      </c>
      <c r="G264" s="2">
        <f t="shared" si="20"/>
        <v>18</v>
      </c>
      <c r="H264" s="2" t="str">
        <f t="shared" si="22"/>
        <v>31</v>
      </c>
      <c r="I264" s="2">
        <f t="shared" si="23"/>
        <v>8</v>
      </c>
      <c r="J264" s="2">
        <f t="shared" si="24"/>
        <v>11</v>
      </c>
    </row>
    <row r="265" spans="1:10">
      <c r="A265" s="2">
        <v>264</v>
      </c>
      <c r="B265" s="3">
        <v>41172</v>
      </c>
      <c r="C265" s="2">
        <v>532</v>
      </c>
      <c r="D265" s="2">
        <v>1747</v>
      </c>
      <c r="E265" s="2">
        <v>1</v>
      </c>
      <c r="F265" s="2">
        <f t="shared" si="21"/>
        <v>7</v>
      </c>
      <c r="G265" s="2">
        <f t="shared" si="20"/>
        <v>18</v>
      </c>
      <c r="H265" s="2" t="str">
        <f t="shared" si="22"/>
        <v>32</v>
      </c>
      <c r="I265" s="2">
        <f t="shared" si="23"/>
        <v>8</v>
      </c>
      <c r="J265" s="2">
        <f t="shared" si="24"/>
        <v>12</v>
      </c>
    </row>
    <row r="266" spans="1:10">
      <c r="A266" s="2">
        <v>265</v>
      </c>
      <c r="B266" s="3">
        <v>41173</v>
      </c>
      <c r="C266" s="2">
        <v>533</v>
      </c>
      <c r="D266" s="2">
        <v>1745</v>
      </c>
      <c r="E266" s="2">
        <v>1</v>
      </c>
      <c r="F266" s="2">
        <f t="shared" si="21"/>
        <v>7</v>
      </c>
      <c r="G266" s="2">
        <f t="shared" si="20"/>
        <v>18</v>
      </c>
      <c r="H266" s="2" t="str">
        <f t="shared" si="22"/>
        <v>33</v>
      </c>
      <c r="I266" s="2">
        <f t="shared" si="23"/>
        <v>8</v>
      </c>
      <c r="J266" s="2">
        <f t="shared" si="24"/>
        <v>13</v>
      </c>
    </row>
    <row r="267" spans="1:10">
      <c r="A267" s="2">
        <v>266</v>
      </c>
      <c r="B267" s="3">
        <v>41174</v>
      </c>
      <c r="C267" s="2">
        <v>535</v>
      </c>
      <c r="D267" s="2">
        <v>1743</v>
      </c>
      <c r="E267" s="2">
        <v>1</v>
      </c>
      <c r="F267" s="2">
        <f t="shared" si="21"/>
        <v>7</v>
      </c>
      <c r="G267" s="2">
        <f t="shared" si="20"/>
        <v>18</v>
      </c>
      <c r="H267" s="2" t="str">
        <f t="shared" si="22"/>
        <v>35</v>
      </c>
      <c r="I267" s="2">
        <f t="shared" si="23"/>
        <v>8</v>
      </c>
      <c r="J267" s="2">
        <f t="shared" si="24"/>
        <v>15</v>
      </c>
    </row>
    <row r="268" spans="1:10">
      <c r="A268" s="2">
        <v>267</v>
      </c>
      <c r="B268" s="3">
        <v>41175</v>
      </c>
      <c r="C268" s="2">
        <v>536</v>
      </c>
      <c r="D268" s="2">
        <v>1741</v>
      </c>
      <c r="E268" s="2">
        <v>1</v>
      </c>
      <c r="F268" s="2">
        <f t="shared" si="21"/>
        <v>7</v>
      </c>
      <c r="G268" s="2">
        <f t="shared" si="20"/>
        <v>18</v>
      </c>
      <c r="H268" s="2" t="str">
        <f t="shared" si="22"/>
        <v>36</v>
      </c>
      <c r="I268" s="2">
        <f t="shared" si="23"/>
        <v>8</v>
      </c>
      <c r="J268" s="2">
        <f t="shared" si="24"/>
        <v>16</v>
      </c>
    </row>
    <row r="269" spans="1:10">
      <c r="A269" s="2">
        <v>268</v>
      </c>
      <c r="B269" s="3">
        <v>41176</v>
      </c>
      <c r="C269" s="2">
        <v>537</v>
      </c>
      <c r="D269" s="2">
        <v>1740</v>
      </c>
      <c r="E269" s="2">
        <v>1</v>
      </c>
      <c r="F269" s="2">
        <f t="shared" si="21"/>
        <v>7</v>
      </c>
      <c r="G269" s="2">
        <f t="shared" si="20"/>
        <v>18</v>
      </c>
      <c r="H269" s="2" t="str">
        <f t="shared" si="22"/>
        <v>37</v>
      </c>
      <c r="I269" s="2">
        <f t="shared" si="23"/>
        <v>8</v>
      </c>
      <c r="J269" s="2">
        <f t="shared" si="24"/>
        <v>17</v>
      </c>
    </row>
    <row r="270" spans="1:10">
      <c r="A270" s="2">
        <v>269</v>
      </c>
      <c r="B270" s="3">
        <v>41177</v>
      </c>
      <c r="C270" s="2">
        <v>538</v>
      </c>
      <c r="D270" s="2">
        <v>1738</v>
      </c>
      <c r="E270" s="2">
        <v>1</v>
      </c>
      <c r="F270" s="2">
        <f t="shared" si="21"/>
        <v>7</v>
      </c>
      <c r="G270" s="2">
        <f t="shared" si="20"/>
        <v>18</v>
      </c>
      <c r="H270" s="2" t="str">
        <f t="shared" si="22"/>
        <v>38</v>
      </c>
      <c r="I270" s="2">
        <f t="shared" si="23"/>
        <v>8</v>
      </c>
      <c r="J270" s="2">
        <f t="shared" si="24"/>
        <v>18</v>
      </c>
    </row>
    <row r="271" spans="1:10">
      <c r="A271" s="2">
        <v>270</v>
      </c>
      <c r="B271" s="3">
        <v>41178</v>
      </c>
      <c r="C271" s="2">
        <v>539</v>
      </c>
      <c r="D271" s="2">
        <v>1736</v>
      </c>
      <c r="E271" s="2">
        <v>1</v>
      </c>
      <c r="F271" s="2">
        <f t="shared" si="21"/>
        <v>7</v>
      </c>
      <c r="G271" s="2">
        <f t="shared" si="20"/>
        <v>18</v>
      </c>
      <c r="H271" s="2" t="str">
        <f t="shared" si="22"/>
        <v>39</v>
      </c>
      <c r="I271" s="2">
        <f t="shared" si="23"/>
        <v>8</v>
      </c>
      <c r="J271" s="2">
        <f t="shared" si="24"/>
        <v>19</v>
      </c>
    </row>
    <row r="272" spans="1:10">
      <c r="A272" s="2">
        <v>271</v>
      </c>
      <c r="B272" s="3">
        <v>41179</v>
      </c>
      <c r="C272" s="2">
        <v>540</v>
      </c>
      <c r="D272" s="2">
        <v>1734</v>
      </c>
      <c r="E272" s="2">
        <v>1</v>
      </c>
      <c r="F272" s="2">
        <f t="shared" si="21"/>
        <v>7</v>
      </c>
      <c r="G272" s="2">
        <f t="shared" si="20"/>
        <v>18</v>
      </c>
      <c r="H272" s="2" t="str">
        <f t="shared" si="22"/>
        <v>40</v>
      </c>
      <c r="I272" s="2">
        <f t="shared" si="23"/>
        <v>8</v>
      </c>
      <c r="J272" s="2">
        <f t="shared" si="24"/>
        <v>20</v>
      </c>
    </row>
    <row r="273" spans="1:10">
      <c r="A273" s="2">
        <v>272</v>
      </c>
      <c r="B273" s="3">
        <v>41180</v>
      </c>
      <c r="C273" s="2">
        <v>541</v>
      </c>
      <c r="D273" s="2">
        <v>1732</v>
      </c>
      <c r="E273" s="2">
        <v>1</v>
      </c>
      <c r="F273" s="2">
        <f t="shared" si="21"/>
        <v>7</v>
      </c>
      <c r="G273" s="2">
        <f t="shared" si="20"/>
        <v>18</v>
      </c>
      <c r="H273" s="2" t="str">
        <f t="shared" si="22"/>
        <v>41</v>
      </c>
      <c r="I273" s="2">
        <f t="shared" si="23"/>
        <v>8</v>
      </c>
      <c r="J273" s="2">
        <f t="shared" si="24"/>
        <v>21</v>
      </c>
    </row>
    <row r="274" spans="1:10">
      <c r="A274" s="2">
        <v>273</v>
      </c>
      <c r="B274" s="3">
        <v>41181</v>
      </c>
      <c r="C274" s="2">
        <v>543</v>
      </c>
      <c r="D274" s="2">
        <v>1730</v>
      </c>
      <c r="E274" s="2">
        <v>1</v>
      </c>
      <c r="F274" s="2">
        <f t="shared" si="21"/>
        <v>7</v>
      </c>
      <c r="G274" s="2">
        <f t="shared" si="20"/>
        <v>18</v>
      </c>
      <c r="H274" s="2" t="str">
        <f t="shared" si="22"/>
        <v>43</v>
      </c>
      <c r="I274" s="2">
        <f t="shared" si="23"/>
        <v>8</v>
      </c>
      <c r="J274" s="2">
        <f t="shared" si="24"/>
        <v>23</v>
      </c>
    </row>
    <row r="275" spans="1:10">
      <c r="A275" s="2">
        <v>274</v>
      </c>
      <c r="B275" s="3">
        <v>41182</v>
      </c>
      <c r="C275" s="2">
        <v>544</v>
      </c>
      <c r="D275" s="2">
        <v>1729</v>
      </c>
      <c r="E275" s="2">
        <v>1</v>
      </c>
      <c r="F275" s="2">
        <f t="shared" si="21"/>
        <v>7</v>
      </c>
      <c r="G275" s="2">
        <f t="shared" si="20"/>
        <v>17</v>
      </c>
      <c r="H275" s="2" t="str">
        <f t="shared" si="22"/>
        <v>44</v>
      </c>
      <c r="I275" s="2">
        <f t="shared" si="23"/>
        <v>8</v>
      </c>
      <c r="J275" s="2">
        <f t="shared" si="24"/>
        <v>24</v>
      </c>
    </row>
    <row r="276" spans="1:10">
      <c r="A276" s="2">
        <v>275</v>
      </c>
      <c r="B276" s="3">
        <v>41183</v>
      </c>
      <c r="C276" s="2">
        <v>545</v>
      </c>
      <c r="D276" s="2">
        <v>1727</v>
      </c>
      <c r="E276" s="2">
        <v>1</v>
      </c>
      <c r="F276" s="2">
        <f t="shared" si="21"/>
        <v>7</v>
      </c>
      <c r="G276" s="2">
        <f t="shared" si="20"/>
        <v>17</v>
      </c>
      <c r="H276" s="2" t="str">
        <f t="shared" si="22"/>
        <v>45</v>
      </c>
      <c r="I276" s="2">
        <f t="shared" si="23"/>
        <v>8</v>
      </c>
      <c r="J276" s="2">
        <f t="shared" si="24"/>
        <v>25</v>
      </c>
    </row>
    <row r="277" spans="1:10">
      <c r="A277" s="2">
        <v>276</v>
      </c>
      <c r="B277" s="3">
        <v>41184</v>
      </c>
      <c r="C277" s="2">
        <v>546</v>
      </c>
      <c r="D277" s="2">
        <v>1725</v>
      </c>
      <c r="E277" s="2">
        <v>1</v>
      </c>
      <c r="F277" s="2">
        <f t="shared" si="21"/>
        <v>7</v>
      </c>
      <c r="G277" s="2">
        <f t="shared" si="20"/>
        <v>17</v>
      </c>
      <c r="H277" s="2" t="str">
        <f t="shared" si="22"/>
        <v>46</v>
      </c>
      <c r="I277" s="2">
        <f t="shared" si="23"/>
        <v>8</v>
      </c>
      <c r="J277" s="2">
        <f t="shared" si="24"/>
        <v>26</v>
      </c>
    </row>
    <row r="278" spans="1:10">
      <c r="A278" s="2">
        <v>277</v>
      </c>
      <c r="B278" s="3">
        <v>41185</v>
      </c>
      <c r="C278" s="2">
        <v>547</v>
      </c>
      <c r="D278" s="2">
        <v>1723</v>
      </c>
      <c r="E278" s="2">
        <v>1</v>
      </c>
      <c r="F278" s="2">
        <f t="shared" si="21"/>
        <v>7</v>
      </c>
      <c r="G278" s="2">
        <f t="shared" si="20"/>
        <v>17</v>
      </c>
      <c r="H278" s="2" t="str">
        <f t="shared" si="22"/>
        <v>47</v>
      </c>
      <c r="I278" s="2">
        <f t="shared" si="23"/>
        <v>8</v>
      </c>
      <c r="J278" s="2">
        <f t="shared" si="24"/>
        <v>27</v>
      </c>
    </row>
    <row r="279" spans="1:10">
      <c r="A279" s="2">
        <v>278</v>
      </c>
      <c r="B279" s="3">
        <v>41186</v>
      </c>
      <c r="C279" s="2">
        <v>548</v>
      </c>
      <c r="D279" s="2">
        <v>1721</v>
      </c>
      <c r="E279" s="2">
        <v>1</v>
      </c>
      <c r="F279" s="2">
        <f t="shared" si="21"/>
        <v>7</v>
      </c>
      <c r="G279" s="2">
        <f t="shared" si="20"/>
        <v>17</v>
      </c>
      <c r="H279" s="2" t="str">
        <f t="shared" si="22"/>
        <v>48</v>
      </c>
      <c r="I279" s="2">
        <f t="shared" si="23"/>
        <v>8</v>
      </c>
      <c r="J279" s="2">
        <f t="shared" si="24"/>
        <v>28</v>
      </c>
    </row>
    <row r="280" spans="1:10">
      <c r="A280" s="2">
        <v>279</v>
      </c>
      <c r="B280" s="3">
        <v>41187</v>
      </c>
      <c r="C280" s="2">
        <v>550</v>
      </c>
      <c r="D280" s="2">
        <v>1720</v>
      </c>
      <c r="E280" s="2">
        <v>1</v>
      </c>
      <c r="F280" s="2">
        <f t="shared" si="21"/>
        <v>7</v>
      </c>
      <c r="G280" s="2">
        <f t="shared" si="20"/>
        <v>17</v>
      </c>
      <c r="H280" s="2" t="str">
        <f t="shared" si="22"/>
        <v>50</v>
      </c>
      <c r="I280" s="2">
        <f t="shared" si="23"/>
        <v>8</v>
      </c>
      <c r="J280" s="2">
        <f t="shared" si="24"/>
        <v>30</v>
      </c>
    </row>
    <row r="281" spans="1:10">
      <c r="A281" s="2">
        <v>280</v>
      </c>
      <c r="B281" s="3">
        <v>41188</v>
      </c>
      <c r="C281" s="2">
        <v>551</v>
      </c>
      <c r="D281" s="2">
        <v>1718</v>
      </c>
      <c r="E281" s="2">
        <v>1</v>
      </c>
      <c r="F281" s="2">
        <f t="shared" si="21"/>
        <v>7</v>
      </c>
      <c r="G281" s="2">
        <f t="shared" si="20"/>
        <v>17</v>
      </c>
      <c r="H281" s="2" t="str">
        <f t="shared" si="22"/>
        <v>51</v>
      </c>
      <c r="I281" s="2">
        <f t="shared" si="23"/>
        <v>8</v>
      </c>
      <c r="J281" s="2">
        <f t="shared" si="24"/>
        <v>31</v>
      </c>
    </row>
    <row r="282" spans="1:10">
      <c r="A282" s="2">
        <v>281</v>
      </c>
      <c r="B282" s="3">
        <v>41189</v>
      </c>
      <c r="C282" s="2">
        <v>552</v>
      </c>
      <c r="D282" s="2">
        <v>1716</v>
      </c>
      <c r="E282" s="2">
        <v>1</v>
      </c>
      <c r="F282" s="2">
        <f t="shared" si="21"/>
        <v>7</v>
      </c>
      <c r="G282" s="2">
        <f t="shared" si="20"/>
        <v>17</v>
      </c>
      <c r="H282" s="2" t="str">
        <f t="shared" si="22"/>
        <v>52</v>
      </c>
      <c r="I282" s="2">
        <f t="shared" si="23"/>
        <v>8</v>
      </c>
      <c r="J282" s="2">
        <f t="shared" si="24"/>
        <v>32</v>
      </c>
    </row>
    <row r="283" spans="1:10">
      <c r="A283" s="2">
        <v>282</v>
      </c>
      <c r="B283" s="3">
        <v>41190</v>
      </c>
      <c r="C283" s="2">
        <v>553</v>
      </c>
      <c r="D283" s="2">
        <v>1714</v>
      </c>
      <c r="E283" s="2">
        <v>1</v>
      </c>
      <c r="F283" s="2">
        <f t="shared" si="21"/>
        <v>7</v>
      </c>
      <c r="G283" s="2">
        <f t="shared" si="20"/>
        <v>17</v>
      </c>
      <c r="H283" s="2" t="str">
        <f t="shared" si="22"/>
        <v>53</v>
      </c>
      <c r="I283" s="2">
        <f t="shared" si="23"/>
        <v>8</v>
      </c>
      <c r="J283" s="2">
        <f t="shared" si="24"/>
        <v>33</v>
      </c>
    </row>
    <row r="284" spans="1:10">
      <c r="A284" s="2">
        <v>283</v>
      </c>
      <c r="B284" s="3">
        <v>41191</v>
      </c>
      <c r="C284" s="2">
        <v>554</v>
      </c>
      <c r="D284" s="2">
        <v>1713</v>
      </c>
      <c r="E284" s="2">
        <v>1</v>
      </c>
      <c r="F284" s="2">
        <f t="shared" si="21"/>
        <v>7</v>
      </c>
      <c r="G284" s="2">
        <f t="shared" si="20"/>
        <v>17</v>
      </c>
      <c r="H284" s="2" t="str">
        <f t="shared" si="22"/>
        <v>54</v>
      </c>
      <c r="I284" s="2">
        <f t="shared" si="23"/>
        <v>8</v>
      </c>
      <c r="J284" s="2">
        <f t="shared" si="24"/>
        <v>34</v>
      </c>
    </row>
    <row r="285" spans="1:10">
      <c r="A285" s="2">
        <v>284</v>
      </c>
      <c r="B285" s="3">
        <v>41192</v>
      </c>
      <c r="C285" s="2">
        <v>556</v>
      </c>
      <c r="D285" s="2">
        <v>1711</v>
      </c>
      <c r="E285" s="2">
        <v>1</v>
      </c>
      <c r="F285" s="2">
        <f t="shared" si="21"/>
        <v>7</v>
      </c>
      <c r="G285" s="2">
        <f t="shared" si="20"/>
        <v>17</v>
      </c>
      <c r="H285" s="2" t="str">
        <f t="shared" si="22"/>
        <v>56</v>
      </c>
      <c r="I285" s="2">
        <f t="shared" si="23"/>
        <v>8</v>
      </c>
      <c r="J285" s="2">
        <f t="shared" si="24"/>
        <v>36</v>
      </c>
    </row>
    <row r="286" spans="1:10">
      <c r="A286" s="2">
        <v>285</v>
      </c>
      <c r="B286" s="3">
        <v>41193</v>
      </c>
      <c r="C286" s="2">
        <v>557</v>
      </c>
      <c r="D286" s="2">
        <v>1709</v>
      </c>
      <c r="E286" s="2">
        <v>1</v>
      </c>
      <c r="F286" s="2">
        <f t="shared" si="21"/>
        <v>7</v>
      </c>
      <c r="G286" s="2">
        <f t="shared" si="20"/>
        <v>17</v>
      </c>
      <c r="H286" s="2" t="str">
        <f t="shared" si="22"/>
        <v>57</v>
      </c>
      <c r="I286" s="2">
        <f t="shared" si="23"/>
        <v>8</v>
      </c>
      <c r="J286" s="2">
        <f t="shared" si="24"/>
        <v>37</v>
      </c>
    </row>
    <row r="287" spans="1:10">
      <c r="A287" s="2">
        <v>286</v>
      </c>
      <c r="B287" s="3">
        <v>41194</v>
      </c>
      <c r="C287" s="2">
        <v>558</v>
      </c>
      <c r="D287" s="2">
        <v>1708</v>
      </c>
      <c r="E287" s="2">
        <v>1</v>
      </c>
      <c r="F287" s="2">
        <f t="shared" si="21"/>
        <v>7</v>
      </c>
      <c r="G287" s="2">
        <f t="shared" si="20"/>
        <v>17</v>
      </c>
      <c r="H287" s="2" t="str">
        <f t="shared" si="22"/>
        <v>58</v>
      </c>
      <c r="I287" s="2">
        <f t="shared" si="23"/>
        <v>8</v>
      </c>
      <c r="J287" s="2">
        <f t="shared" si="24"/>
        <v>38</v>
      </c>
    </row>
    <row r="288" spans="1:10">
      <c r="A288" s="2">
        <v>287</v>
      </c>
      <c r="B288" s="3">
        <v>41195</v>
      </c>
      <c r="C288" s="2">
        <v>559</v>
      </c>
      <c r="D288" s="2">
        <v>1706</v>
      </c>
      <c r="E288" s="2">
        <v>1</v>
      </c>
      <c r="F288" s="2">
        <f t="shared" si="21"/>
        <v>7</v>
      </c>
      <c r="G288" s="2">
        <f t="shared" si="20"/>
        <v>17</v>
      </c>
      <c r="H288" s="2" t="str">
        <f t="shared" si="22"/>
        <v>59</v>
      </c>
      <c r="I288" s="2">
        <f t="shared" si="23"/>
        <v>8</v>
      </c>
      <c r="J288" s="2">
        <f t="shared" si="24"/>
        <v>39</v>
      </c>
    </row>
    <row r="289" spans="1:10">
      <c r="A289" s="2">
        <v>288</v>
      </c>
      <c r="B289" s="3">
        <v>41196</v>
      </c>
      <c r="C289" s="2">
        <v>600</v>
      </c>
      <c r="D289" s="2">
        <v>1704</v>
      </c>
      <c r="E289" s="2">
        <v>1</v>
      </c>
      <c r="F289" s="2">
        <f t="shared" si="21"/>
        <v>7</v>
      </c>
      <c r="G289" s="2">
        <f t="shared" si="20"/>
        <v>17</v>
      </c>
      <c r="H289" s="2" t="str">
        <f t="shared" si="22"/>
        <v>00</v>
      </c>
      <c r="I289" s="2">
        <f t="shared" si="23"/>
        <v>7</v>
      </c>
      <c r="J289" s="2">
        <f t="shared" si="24"/>
        <v>40</v>
      </c>
    </row>
    <row r="290" spans="1:10">
      <c r="A290" s="2">
        <v>289</v>
      </c>
      <c r="B290" s="3">
        <v>41197</v>
      </c>
      <c r="C290" s="2">
        <v>602</v>
      </c>
      <c r="D290" s="2">
        <v>1702</v>
      </c>
      <c r="E290" s="2">
        <v>1</v>
      </c>
      <c r="F290" s="2">
        <f t="shared" si="21"/>
        <v>7</v>
      </c>
      <c r="G290" s="2">
        <f t="shared" si="20"/>
        <v>17</v>
      </c>
      <c r="H290" s="2" t="str">
        <f t="shared" si="22"/>
        <v>02</v>
      </c>
      <c r="I290" s="2">
        <f t="shared" si="23"/>
        <v>7</v>
      </c>
      <c r="J290" s="2">
        <f t="shared" si="24"/>
        <v>42</v>
      </c>
    </row>
    <row r="291" spans="1:10">
      <c r="A291" s="2">
        <v>290</v>
      </c>
      <c r="B291" s="3">
        <v>41198</v>
      </c>
      <c r="C291" s="2">
        <v>603</v>
      </c>
      <c r="D291" s="2">
        <v>1701</v>
      </c>
      <c r="E291" s="2">
        <v>1</v>
      </c>
      <c r="F291" s="2">
        <f t="shared" si="21"/>
        <v>7</v>
      </c>
      <c r="G291" s="2">
        <f t="shared" si="20"/>
        <v>17</v>
      </c>
      <c r="H291" s="2" t="str">
        <f t="shared" si="22"/>
        <v>03</v>
      </c>
      <c r="I291" s="2">
        <f t="shared" si="23"/>
        <v>7</v>
      </c>
      <c r="J291" s="2">
        <f t="shared" si="24"/>
        <v>43</v>
      </c>
    </row>
    <row r="292" spans="1:10">
      <c r="A292" s="2">
        <v>291</v>
      </c>
      <c r="B292" s="3">
        <v>41199</v>
      </c>
      <c r="C292" s="2">
        <v>604</v>
      </c>
      <c r="D292" s="2">
        <v>1659</v>
      </c>
      <c r="E292" s="2">
        <v>1</v>
      </c>
      <c r="F292" s="2">
        <f t="shared" si="21"/>
        <v>7</v>
      </c>
      <c r="G292" s="2">
        <f t="shared" si="20"/>
        <v>17</v>
      </c>
      <c r="H292" s="2" t="str">
        <f t="shared" si="22"/>
        <v>04</v>
      </c>
      <c r="I292" s="2">
        <f t="shared" si="23"/>
        <v>7</v>
      </c>
      <c r="J292" s="2">
        <f t="shared" si="24"/>
        <v>44</v>
      </c>
    </row>
    <row r="293" spans="1:10">
      <c r="A293" s="2">
        <v>292</v>
      </c>
      <c r="B293" s="3">
        <v>41200</v>
      </c>
      <c r="C293" s="2">
        <v>605</v>
      </c>
      <c r="D293" s="2">
        <v>1658</v>
      </c>
      <c r="E293" s="2">
        <v>1</v>
      </c>
      <c r="F293" s="2">
        <f t="shared" si="21"/>
        <v>7</v>
      </c>
      <c r="G293" s="2">
        <f t="shared" si="20"/>
        <v>17</v>
      </c>
      <c r="H293" s="2" t="str">
        <f t="shared" si="22"/>
        <v>05</v>
      </c>
      <c r="I293" s="2">
        <f t="shared" si="23"/>
        <v>7</v>
      </c>
      <c r="J293" s="2">
        <f t="shared" si="24"/>
        <v>45</v>
      </c>
    </row>
    <row r="294" spans="1:10">
      <c r="A294" s="2">
        <v>293</v>
      </c>
      <c r="B294" s="3">
        <v>41201</v>
      </c>
      <c r="C294" s="2">
        <v>607</v>
      </c>
      <c r="D294" s="2">
        <v>1656</v>
      </c>
      <c r="E294" s="2">
        <v>1</v>
      </c>
      <c r="F294" s="2">
        <f t="shared" si="21"/>
        <v>7</v>
      </c>
      <c r="G294" s="2">
        <f t="shared" si="20"/>
        <v>17</v>
      </c>
      <c r="H294" s="2" t="str">
        <f t="shared" si="22"/>
        <v>07</v>
      </c>
      <c r="I294" s="2">
        <f t="shared" si="23"/>
        <v>7</v>
      </c>
      <c r="J294" s="2">
        <f t="shared" si="24"/>
        <v>47</v>
      </c>
    </row>
    <row r="295" spans="1:10">
      <c r="A295" s="2">
        <v>294</v>
      </c>
      <c r="B295" s="3">
        <v>41202</v>
      </c>
      <c r="C295" s="2">
        <v>608</v>
      </c>
      <c r="D295" s="2">
        <v>1654</v>
      </c>
      <c r="E295" s="2">
        <v>1</v>
      </c>
      <c r="F295" s="2">
        <f t="shared" si="21"/>
        <v>7</v>
      </c>
      <c r="G295" s="2">
        <f t="shared" si="20"/>
        <v>17</v>
      </c>
      <c r="H295" s="2" t="str">
        <f t="shared" si="22"/>
        <v>08</v>
      </c>
      <c r="I295" s="2">
        <f t="shared" si="23"/>
        <v>7</v>
      </c>
      <c r="J295" s="2">
        <f t="shared" si="24"/>
        <v>48</v>
      </c>
    </row>
    <row r="296" spans="1:10">
      <c r="A296" s="2">
        <v>295</v>
      </c>
      <c r="B296" s="3">
        <v>41203</v>
      </c>
      <c r="C296" s="2">
        <v>609</v>
      </c>
      <c r="D296" s="2">
        <v>1653</v>
      </c>
      <c r="E296" s="2">
        <v>1</v>
      </c>
      <c r="F296" s="2">
        <f t="shared" si="21"/>
        <v>7</v>
      </c>
      <c r="G296" s="2">
        <f t="shared" si="20"/>
        <v>17</v>
      </c>
      <c r="H296" s="2" t="str">
        <f t="shared" si="22"/>
        <v>09</v>
      </c>
      <c r="I296" s="2">
        <f t="shared" si="23"/>
        <v>7</v>
      </c>
      <c r="J296" s="2">
        <f t="shared" si="24"/>
        <v>49</v>
      </c>
    </row>
    <row r="297" spans="1:10">
      <c r="A297" s="2">
        <v>296</v>
      </c>
      <c r="B297" s="3">
        <v>41204</v>
      </c>
      <c r="C297" s="2">
        <v>610</v>
      </c>
      <c r="D297" s="2">
        <v>1651</v>
      </c>
      <c r="E297" s="2">
        <v>1</v>
      </c>
      <c r="F297" s="2">
        <f t="shared" si="21"/>
        <v>7</v>
      </c>
      <c r="G297" s="2">
        <f t="shared" si="20"/>
        <v>17</v>
      </c>
      <c r="H297" s="2" t="str">
        <f t="shared" si="22"/>
        <v>10</v>
      </c>
      <c r="I297" s="2">
        <f t="shared" si="23"/>
        <v>7</v>
      </c>
      <c r="J297" s="2">
        <f t="shared" si="24"/>
        <v>50</v>
      </c>
    </row>
    <row r="298" spans="1:10">
      <c r="A298" s="2">
        <v>297</v>
      </c>
      <c r="B298" s="3">
        <v>41205</v>
      </c>
      <c r="C298" s="2">
        <v>612</v>
      </c>
      <c r="D298" s="2">
        <v>1650</v>
      </c>
      <c r="E298" s="2">
        <v>1</v>
      </c>
      <c r="F298" s="2">
        <f t="shared" si="21"/>
        <v>7</v>
      </c>
      <c r="G298" s="2">
        <f t="shared" si="20"/>
        <v>17</v>
      </c>
      <c r="H298" s="2" t="str">
        <f t="shared" si="22"/>
        <v>12</v>
      </c>
      <c r="I298" s="2">
        <f t="shared" si="23"/>
        <v>7</v>
      </c>
      <c r="J298" s="2">
        <f t="shared" si="24"/>
        <v>52</v>
      </c>
    </row>
    <row r="299" spans="1:10">
      <c r="A299" s="2">
        <v>298</v>
      </c>
      <c r="B299" s="3">
        <v>41206</v>
      </c>
      <c r="C299" s="2">
        <v>613</v>
      </c>
      <c r="D299" s="2">
        <v>1648</v>
      </c>
      <c r="E299" s="2">
        <v>1</v>
      </c>
      <c r="F299" s="2">
        <f t="shared" si="21"/>
        <v>7</v>
      </c>
      <c r="G299" s="2">
        <f t="shared" si="20"/>
        <v>17</v>
      </c>
      <c r="H299" s="2" t="str">
        <f t="shared" si="22"/>
        <v>13</v>
      </c>
      <c r="I299" s="2">
        <f t="shared" si="23"/>
        <v>7</v>
      </c>
      <c r="J299" s="2">
        <f t="shared" si="24"/>
        <v>53</v>
      </c>
    </row>
    <row r="300" spans="1:10">
      <c r="A300" s="2">
        <v>299</v>
      </c>
      <c r="B300" s="3">
        <v>41207</v>
      </c>
      <c r="C300" s="2">
        <v>614</v>
      </c>
      <c r="D300" s="2">
        <v>1647</v>
      </c>
      <c r="E300" s="2">
        <v>1</v>
      </c>
      <c r="F300" s="2">
        <f t="shared" si="21"/>
        <v>7</v>
      </c>
      <c r="G300" s="2">
        <f t="shared" si="20"/>
        <v>17</v>
      </c>
      <c r="H300" s="2" t="str">
        <f t="shared" si="22"/>
        <v>14</v>
      </c>
      <c r="I300" s="2">
        <f t="shared" si="23"/>
        <v>7</v>
      </c>
      <c r="J300" s="2">
        <f t="shared" si="24"/>
        <v>54</v>
      </c>
    </row>
    <row r="301" spans="1:10">
      <c r="A301" s="2">
        <v>300</v>
      </c>
      <c r="B301" s="3">
        <v>41208</v>
      </c>
      <c r="C301" s="2">
        <v>616</v>
      </c>
      <c r="D301" s="2">
        <v>1645</v>
      </c>
      <c r="E301" s="2">
        <v>1</v>
      </c>
      <c r="F301" s="2">
        <f t="shared" si="21"/>
        <v>7</v>
      </c>
      <c r="G301" s="2">
        <f t="shared" si="20"/>
        <v>17</v>
      </c>
      <c r="H301" s="2" t="str">
        <f t="shared" si="22"/>
        <v>16</v>
      </c>
      <c r="I301" s="2">
        <f t="shared" si="23"/>
        <v>7</v>
      </c>
      <c r="J301" s="2">
        <f t="shared" si="24"/>
        <v>56</v>
      </c>
    </row>
    <row r="302" spans="1:10">
      <c r="A302" s="2">
        <v>301</v>
      </c>
      <c r="B302" s="3">
        <v>41209</v>
      </c>
      <c r="C302" s="2">
        <v>617</v>
      </c>
      <c r="D302" s="2">
        <v>1644</v>
      </c>
      <c r="E302" s="2">
        <v>1</v>
      </c>
      <c r="F302" s="2">
        <f t="shared" si="21"/>
        <v>7</v>
      </c>
      <c r="G302" s="2">
        <f t="shared" si="20"/>
        <v>17</v>
      </c>
      <c r="H302" s="2" t="str">
        <f t="shared" si="22"/>
        <v>17</v>
      </c>
      <c r="I302" s="2">
        <f t="shared" si="23"/>
        <v>7</v>
      </c>
      <c r="J302" s="2">
        <f t="shared" si="24"/>
        <v>57</v>
      </c>
    </row>
    <row r="303" spans="1:10">
      <c r="A303" s="2">
        <v>302</v>
      </c>
      <c r="B303" s="3">
        <v>41210</v>
      </c>
      <c r="C303" s="2">
        <v>618</v>
      </c>
      <c r="D303" s="2">
        <v>1642</v>
      </c>
      <c r="E303" s="2">
        <v>1</v>
      </c>
      <c r="F303" s="2">
        <f t="shared" si="21"/>
        <v>7</v>
      </c>
      <c r="G303" s="2">
        <f t="shared" si="20"/>
        <v>17</v>
      </c>
      <c r="H303" s="2" t="str">
        <f t="shared" si="22"/>
        <v>18</v>
      </c>
      <c r="I303" s="2">
        <f t="shared" si="23"/>
        <v>7</v>
      </c>
      <c r="J303" s="2">
        <f t="shared" si="24"/>
        <v>58</v>
      </c>
    </row>
    <row r="304" spans="1:10">
      <c r="A304" s="2">
        <v>303</v>
      </c>
      <c r="B304" s="3">
        <v>41211</v>
      </c>
      <c r="C304" s="2">
        <v>619</v>
      </c>
      <c r="D304" s="2">
        <v>1641</v>
      </c>
      <c r="E304" s="2">
        <v>1</v>
      </c>
      <c r="F304" s="2">
        <f t="shared" si="21"/>
        <v>7</v>
      </c>
      <c r="G304" s="2">
        <f t="shared" si="20"/>
        <v>17</v>
      </c>
      <c r="H304" s="2" t="str">
        <f t="shared" si="22"/>
        <v>19</v>
      </c>
      <c r="I304" s="2">
        <f t="shared" si="23"/>
        <v>7</v>
      </c>
      <c r="J304" s="2">
        <f t="shared" si="24"/>
        <v>59</v>
      </c>
    </row>
    <row r="305" spans="1:10">
      <c r="A305" s="2">
        <v>304</v>
      </c>
      <c r="B305" s="3">
        <v>41212</v>
      </c>
      <c r="C305" s="2">
        <v>621</v>
      </c>
      <c r="D305" s="2">
        <v>1639</v>
      </c>
      <c r="E305" s="2">
        <v>1</v>
      </c>
      <c r="F305" s="2">
        <f t="shared" si="21"/>
        <v>7</v>
      </c>
      <c r="G305" s="2">
        <f t="shared" si="20"/>
        <v>17</v>
      </c>
      <c r="H305" s="2" t="str">
        <f t="shared" si="22"/>
        <v>21</v>
      </c>
      <c r="I305" s="2">
        <f t="shared" si="23"/>
        <v>8</v>
      </c>
      <c r="J305" s="2">
        <f t="shared" si="24"/>
        <v>1</v>
      </c>
    </row>
    <row r="306" spans="1:10">
      <c r="A306" s="2">
        <v>305</v>
      </c>
      <c r="B306" s="3">
        <v>41213</v>
      </c>
      <c r="C306" s="2">
        <v>622</v>
      </c>
      <c r="D306" s="2">
        <v>1638</v>
      </c>
      <c r="E306" s="2">
        <v>1</v>
      </c>
      <c r="F306" s="2">
        <f t="shared" si="21"/>
        <v>7</v>
      </c>
      <c r="G306" s="2">
        <f t="shared" si="20"/>
        <v>17</v>
      </c>
      <c r="H306" s="2" t="str">
        <f t="shared" si="22"/>
        <v>22</v>
      </c>
      <c r="I306" s="2">
        <f t="shared" si="23"/>
        <v>8</v>
      </c>
      <c r="J306" s="2">
        <f t="shared" si="24"/>
        <v>2</v>
      </c>
    </row>
    <row r="307" spans="1:10">
      <c r="A307" s="2">
        <v>306</v>
      </c>
      <c r="B307" s="3">
        <v>41214</v>
      </c>
      <c r="C307" s="2">
        <v>623</v>
      </c>
      <c r="D307" s="2">
        <v>1637</v>
      </c>
      <c r="E307" s="2">
        <v>1</v>
      </c>
      <c r="F307" s="2">
        <f t="shared" si="21"/>
        <v>7</v>
      </c>
      <c r="G307" s="2">
        <f t="shared" si="20"/>
        <v>17</v>
      </c>
      <c r="H307" s="2" t="str">
        <f t="shared" si="22"/>
        <v>23</v>
      </c>
      <c r="I307" s="2">
        <f t="shared" si="23"/>
        <v>8</v>
      </c>
      <c r="J307" s="2">
        <f t="shared" si="24"/>
        <v>3</v>
      </c>
    </row>
    <row r="308" spans="1:10">
      <c r="A308" s="2">
        <v>307</v>
      </c>
      <c r="B308" s="3">
        <v>41215</v>
      </c>
      <c r="C308" s="2">
        <v>625</v>
      </c>
      <c r="D308" s="2">
        <v>1635</v>
      </c>
      <c r="E308" s="2">
        <v>1</v>
      </c>
      <c r="F308" s="2">
        <f t="shared" si="21"/>
        <v>7</v>
      </c>
      <c r="G308" s="2">
        <f t="shared" si="20"/>
        <v>17</v>
      </c>
      <c r="H308" s="2" t="str">
        <f t="shared" si="22"/>
        <v>25</v>
      </c>
      <c r="I308" s="2">
        <f t="shared" si="23"/>
        <v>8</v>
      </c>
      <c r="J308" s="2">
        <f t="shared" si="24"/>
        <v>5</v>
      </c>
    </row>
    <row r="309" spans="1:10">
      <c r="A309" s="2">
        <v>308</v>
      </c>
      <c r="B309" s="3">
        <v>41216</v>
      </c>
      <c r="C309" s="2">
        <v>626</v>
      </c>
      <c r="D309" s="2">
        <v>1634</v>
      </c>
      <c r="E309" s="2">
        <v>1</v>
      </c>
      <c r="F309" s="2">
        <f t="shared" si="21"/>
        <v>7</v>
      </c>
      <c r="G309" s="2">
        <f t="shared" si="20"/>
        <v>17</v>
      </c>
      <c r="H309" s="2" t="str">
        <f t="shared" si="22"/>
        <v>26</v>
      </c>
      <c r="I309" s="2">
        <f t="shared" si="23"/>
        <v>8</v>
      </c>
      <c r="J309" s="2">
        <f t="shared" si="24"/>
        <v>6</v>
      </c>
    </row>
    <row r="310" spans="1:10">
      <c r="A310" s="2">
        <v>309</v>
      </c>
      <c r="B310" s="3">
        <v>41217</v>
      </c>
      <c r="C310" s="2">
        <v>627</v>
      </c>
      <c r="D310" s="2">
        <v>1633</v>
      </c>
      <c r="E310" s="2">
        <v>1</v>
      </c>
      <c r="F310" s="2">
        <f t="shared" si="21"/>
        <v>7</v>
      </c>
      <c r="G310" s="2">
        <f t="shared" si="20"/>
        <v>17</v>
      </c>
      <c r="H310" s="2" t="str">
        <f t="shared" si="22"/>
        <v>27</v>
      </c>
      <c r="I310" s="2">
        <f t="shared" si="23"/>
        <v>8</v>
      </c>
      <c r="J310" s="2">
        <f t="shared" si="24"/>
        <v>7</v>
      </c>
    </row>
    <row r="311" spans="1:10">
      <c r="A311" s="2">
        <v>310</v>
      </c>
      <c r="B311" s="3">
        <v>41218</v>
      </c>
      <c r="C311" s="2">
        <v>629</v>
      </c>
      <c r="D311" s="2">
        <v>1632</v>
      </c>
      <c r="E311" s="2">
        <v>1</v>
      </c>
      <c r="F311" s="2">
        <f t="shared" si="21"/>
        <v>7</v>
      </c>
      <c r="G311" s="2">
        <f t="shared" si="20"/>
        <v>17</v>
      </c>
      <c r="H311" s="2" t="str">
        <f t="shared" si="22"/>
        <v>29</v>
      </c>
      <c r="I311" s="2">
        <f t="shared" si="23"/>
        <v>8</v>
      </c>
      <c r="J311" s="2">
        <f t="shared" si="24"/>
        <v>9</v>
      </c>
    </row>
    <row r="312" spans="1:10">
      <c r="A312" s="2">
        <v>311</v>
      </c>
      <c r="B312" s="3">
        <v>41219</v>
      </c>
      <c r="C312" s="2">
        <v>630</v>
      </c>
      <c r="D312" s="2">
        <v>1630</v>
      </c>
      <c r="E312" s="2">
        <v>0</v>
      </c>
      <c r="F312" s="2">
        <f t="shared" si="21"/>
        <v>7</v>
      </c>
      <c r="G312" s="2">
        <f t="shared" si="20"/>
        <v>17</v>
      </c>
      <c r="H312" s="2" t="str">
        <f t="shared" si="22"/>
        <v>30</v>
      </c>
      <c r="I312" s="2">
        <f t="shared" si="23"/>
        <v>8</v>
      </c>
      <c r="J312" s="2">
        <f t="shared" si="24"/>
        <v>10</v>
      </c>
    </row>
    <row r="313" spans="1:10">
      <c r="A313" s="2">
        <v>312</v>
      </c>
      <c r="B313" s="3">
        <v>41220</v>
      </c>
      <c r="C313" s="2">
        <v>631</v>
      </c>
      <c r="D313" s="2">
        <v>1629</v>
      </c>
      <c r="E313" s="2">
        <v>0</v>
      </c>
      <c r="F313" s="2">
        <f t="shared" si="21"/>
        <v>7</v>
      </c>
      <c r="G313" s="2">
        <f t="shared" si="20"/>
        <v>16</v>
      </c>
      <c r="H313" s="2" t="str">
        <f t="shared" si="22"/>
        <v>31</v>
      </c>
      <c r="I313" s="2">
        <f t="shared" si="23"/>
        <v>8</v>
      </c>
      <c r="J313" s="2">
        <f t="shared" si="24"/>
        <v>11</v>
      </c>
    </row>
    <row r="314" spans="1:10">
      <c r="A314" s="2">
        <v>313</v>
      </c>
      <c r="B314" s="3">
        <v>41221</v>
      </c>
      <c r="C314" s="2">
        <v>633</v>
      </c>
      <c r="D314" s="2">
        <v>1628</v>
      </c>
      <c r="E314" s="2">
        <v>0</v>
      </c>
      <c r="F314" s="2">
        <f t="shared" si="21"/>
        <v>7</v>
      </c>
      <c r="G314" s="2">
        <f t="shared" si="20"/>
        <v>16</v>
      </c>
      <c r="H314" s="2" t="str">
        <f t="shared" si="22"/>
        <v>33</v>
      </c>
      <c r="I314" s="2">
        <f t="shared" si="23"/>
        <v>8</v>
      </c>
      <c r="J314" s="2">
        <f t="shared" si="24"/>
        <v>13</v>
      </c>
    </row>
    <row r="315" spans="1:10">
      <c r="A315" s="2">
        <v>314</v>
      </c>
      <c r="B315" s="3">
        <v>41222</v>
      </c>
      <c r="C315" s="2">
        <v>634</v>
      </c>
      <c r="D315" s="2">
        <v>1627</v>
      </c>
      <c r="E315" s="2">
        <v>0</v>
      </c>
      <c r="F315" s="2">
        <f t="shared" si="21"/>
        <v>7</v>
      </c>
      <c r="G315" s="2">
        <f t="shared" si="20"/>
        <v>16</v>
      </c>
      <c r="H315" s="2" t="str">
        <f t="shared" si="22"/>
        <v>34</v>
      </c>
      <c r="I315" s="2">
        <f t="shared" si="23"/>
        <v>8</v>
      </c>
      <c r="J315" s="2">
        <f t="shared" si="24"/>
        <v>14</v>
      </c>
    </row>
    <row r="316" spans="1:10">
      <c r="A316" s="2">
        <v>315</v>
      </c>
      <c r="B316" s="3">
        <v>41223</v>
      </c>
      <c r="C316" s="2">
        <v>635</v>
      </c>
      <c r="D316" s="2">
        <v>1626</v>
      </c>
      <c r="E316" s="2">
        <v>0</v>
      </c>
      <c r="F316" s="2">
        <f t="shared" si="21"/>
        <v>7</v>
      </c>
      <c r="G316" s="2">
        <f t="shared" si="20"/>
        <v>16</v>
      </c>
      <c r="H316" s="2" t="str">
        <f t="shared" si="22"/>
        <v>35</v>
      </c>
      <c r="I316" s="2">
        <f t="shared" si="23"/>
        <v>8</v>
      </c>
      <c r="J316" s="2">
        <f t="shared" si="24"/>
        <v>15</v>
      </c>
    </row>
    <row r="317" spans="1:10">
      <c r="A317" s="2">
        <v>316</v>
      </c>
      <c r="B317" s="3">
        <v>41224</v>
      </c>
      <c r="C317" s="2">
        <v>637</v>
      </c>
      <c r="D317" s="2">
        <v>1625</v>
      </c>
      <c r="E317" s="2">
        <v>0</v>
      </c>
      <c r="F317" s="2">
        <f t="shared" si="21"/>
        <v>7</v>
      </c>
      <c r="G317" s="2">
        <f t="shared" si="20"/>
        <v>16</v>
      </c>
      <c r="H317" s="2" t="str">
        <f t="shared" si="22"/>
        <v>37</v>
      </c>
      <c r="I317" s="2">
        <f t="shared" si="23"/>
        <v>8</v>
      </c>
      <c r="J317" s="2">
        <f t="shared" si="24"/>
        <v>17</v>
      </c>
    </row>
    <row r="318" spans="1:10">
      <c r="A318" s="2">
        <v>317</v>
      </c>
      <c r="B318" s="3">
        <v>41225</v>
      </c>
      <c r="C318" s="2">
        <v>638</v>
      </c>
      <c r="D318" s="2">
        <v>1624</v>
      </c>
      <c r="E318" s="2">
        <v>0</v>
      </c>
      <c r="F318" s="2">
        <f t="shared" si="21"/>
        <v>7</v>
      </c>
      <c r="G318" s="2">
        <f t="shared" si="20"/>
        <v>16</v>
      </c>
      <c r="H318" s="2" t="str">
        <f t="shared" si="22"/>
        <v>38</v>
      </c>
      <c r="I318" s="2">
        <f t="shared" si="23"/>
        <v>8</v>
      </c>
      <c r="J318" s="2">
        <f t="shared" si="24"/>
        <v>18</v>
      </c>
    </row>
    <row r="319" spans="1:10">
      <c r="A319" s="2">
        <v>318</v>
      </c>
      <c r="B319" s="3">
        <v>41226</v>
      </c>
      <c r="C319" s="2">
        <v>639</v>
      </c>
      <c r="D319" s="2">
        <v>1623</v>
      </c>
      <c r="E319" s="2">
        <v>0</v>
      </c>
      <c r="F319" s="2">
        <f t="shared" si="21"/>
        <v>7</v>
      </c>
      <c r="G319" s="2">
        <f t="shared" si="20"/>
        <v>16</v>
      </c>
      <c r="H319" s="2" t="str">
        <f t="shared" si="22"/>
        <v>39</v>
      </c>
      <c r="I319" s="2">
        <f t="shared" si="23"/>
        <v>8</v>
      </c>
      <c r="J319" s="2">
        <f t="shared" si="24"/>
        <v>19</v>
      </c>
    </row>
    <row r="320" spans="1:10">
      <c r="A320" s="2">
        <v>319</v>
      </c>
      <c r="B320" s="3">
        <v>41227</v>
      </c>
      <c r="C320" s="2">
        <v>640</v>
      </c>
      <c r="D320" s="2">
        <v>1622</v>
      </c>
      <c r="E320" s="2">
        <v>0</v>
      </c>
      <c r="F320" s="2">
        <f t="shared" si="21"/>
        <v>7</v>
      </c>
      <c r="G320" s="2">
        <f t="shared" si="20"/>
        <v>16</v>
      </c>
      <c r="H320" s="2" t="str">
        <f t="shared" si="22"/>
        <v>40</v>
      </c>
      <c r="I320" s="2">
        <f t="shared" si="23"/>
        <v>8</v>
      </c>
      <c r="J320" s="2">
        <f t="shared" si="24"/>
        <v>20</v>
      </c>
    </row>
    <row r="321" spans="1:10">
      <c r="A321" s="2">
        <v>320</v>
      </c>
      <c r="B321" s="3">
        <v>41228</v>
      </c>
      <c r="C321" s="2">
        <v>642</v>
      </c>
      <c r="D321" s="2">
        <v>1621</v>
      </c>
      <c r="E321" s="2">
        <v>0</v>
      </c>
      <c r="F321" s="2">
        <f t="shared" si="21"/>
        <v>7</v>
      </c>
      <c r="G321" s="2">
        <f t="shared" si="20"/>
        <v>16</v>
      </c>
      <c r="H321" s="2" t="str">
        <f t="shared" si="22"/>
        <v>42</v>
      </c>
      <c r="I321" s="2">
        <f t="shared" si="23"/>
        <v>8</v>
      </c>
      <c r="J321" s="2">
        <f t="shared" si="24"/>
        <v>22</v>
      </c>
    </row>
    <row r="322" spans="1:10">
      <c r="A322" s="2">
        <v>321</v>
      </c>
      <c r="B322" s="3">
        <v>41229</v>
      </c>
      <c r="C322" s="2">
        <v>643</v>
      </c>
      <c r="D322" s="2">
        <v>1620</v>
      </c>
      <c r="E322" s="2">
        <v>0</v>
      </c>
      <c r="F322" s="2">
        <f t="shared" si="21"/>
        <v>7</v>
      </c>
      <c r="G322" s="2">
        <f t="shared" ref="G322:G367" si="25">ROUND(INT(D322/100)+RIGHT(D322,2)/60,0)</f>
        <v>16</v>
      </c>
      <c r="H322" s="2" t="str">
        <f t="shared" si="22"/>
        <v>43</v>
      </c>
      <c r="I322" s="2">
        <f t="shared" si="23"/>
        <v>8</v>
      </c>
      <c r="J322" s="2">
        <f t="shared" si="24"/>
        <v>23</v>
      </c>
    </row>
    <row r="323" spans="1:10">
      <c r="A323" s="2">
        <v>322</v>
      </c>
      <c r="B323" s="3">
        <v>41230</v>
      </c>
      <c r="C323" s="2">
        <v>644</v>
      </c>
      <c r="D323" s="2">
        <v>1619</v>
      </c>
      <c r="E323" s="2">
        <v>0</v>
      </c>
      <c r="F323" s="2">
        <f t="shared" ref="F323:F367" si="26">ROUND(INT(C323/100)+RIGHT(C323,2)/60,0)+E323</f>
        <v>7</v>
      </c>
      <c r="G323" s="2">
        <f t="shared" si="25"/>
        <v>16</v>
      </c>
      <c r="H323" s="2" t="str">
        <f t="shared" ref="H323:H367" si="27">RIGHT(C323,2)</f>
        <v>44</v>
      </c>
      <c r="I323" s="2">
        <f t="shared" ref="I323:I367" si="28">INT(($F323*60+$H323+$L$1)/60)</f>
        <v>8</v>
      </c>
      <c r="J323" s="2">
        <f t="shared" ref="J323:J367" si="29">$F323*60+$H323+$L$1-I323*60</f>
        <v>24</v>
      </c>
    </row>
    <row r="324" spans="1:10">
      <c r="A324" s="2">
        <v>323</v>
      </c>
      <c r="B324" s="3">
        <v>41231</v>
      </c>
      <c r="C324" s="2">
        <v>646</v>
      </c>
      <c r="D324" s="2">
        <v>1618</v>
      </c>
      <c r="E324" s="2">
        <v>0</v>
      </c>
      <c r="F324" s="2">
        <f t="shared" si="26"/>
        <v>7</v>
      </c>
      <c r="G324" s="2">
        <f t="shared" si="25"/>
        <v>16</v>
      </c>
      <c r="H324" s="2" t="str">
        <f t="shared" si="27"/>
        <v>46</v>
      </c>
      <c r="I324" s="2">
        <f t="shared" si="28"/>
        <v>8</v>
      </c>
      <c r="J324" s="2">
        <f t="shared" si="29"/>
        <v>26</v>
      </c>
    </row>
    <row r="325" spans="1:10">
      <c r="A325" s="2">
        <v>324</v>
      </c>
      <c r="B325" s="3">
        <v>41232</v>
      </c>
      <c r="C325" s="2">
        <v>647</v>
      </c>
      <c r="D325" s="2">
        <v>1617</v>
      </c>
      <c r="E325" s="2">
        <v>0</v>
      </c>
      <c r="F325" s="2">
        <f t="shared" si="26"/>
        <v>7</v>
      </c>
      <c r="G325" s="2">
        <f t="shared" si="25"/>
        <v>16</v>
      </c>
      <c r="H325" s="2" t="str">
        <f t="shared" si="27"/>
        <v>47</v>
      </c>
      <c r="I325" s="2">
        <f t="shared" si="28"/>
        <v>8</v>
      </c>
      <c r="J325" s="2">
        <f t="shared" si="29"/>
        <v>27</v>
      </c>
    </row>
    <row r="326" spans="1:10">
      <c r="A326" s="2">
        <v>325</v>
      </c>
      <c r="B326" s="3">
        <v>41233</v>
      </c>
      <c r="C326" s="2">
        <v>648</v>
      </c>
      <c r="D326" s="2">
        <v>1617</v>
      </c>
      <c r="E326" s="2">
        <v>0</v>
      </c>
      <c r="F326" s="2">
        <f t="shared" si="26"/>
        <v>7</v>
      </c>
      <c r="G326" s="2">
        <f t="shared" si="25"/>
        <v>16</v>
      </c>
      <c r="H326" s="2" t="str">
        <f t="shared" si="27"/>
        <v>48</v>
      </c>
      <c r="I326" s="2">
        <f t="shared" si="28"/>
        <v>8</v>
      </c>
      <c r="J326" s="2">
        <f t="shared" si="29"/>
        <v>28</v>
      </c>
    </row>
    <row r="327" spans="1:10">
      <c r="A327" s="2">
        <v>326</v>
      </c>
      <c r="B327" s="3">
        <v>41234</v>
      </c>
      <c r="C327" s="2">
        <v>649</v>
      </c>
      <c r="D327" s="2">
        <v>1616</v>
      </c>
      <c r="E327" s="2">
        <v>0</v>
      </c>
      <c r="F327" s="2">
        <f t="shared" si="26"/>
        <v>7</v>
      </c>
      <c r="G327" s="2">
        <f t="shared" si="25"/>
        <v>16</v>
      </c>
      <c r="H327" s="2" t="str">
        <f t="shared" si="27"/>
        <v>49</v>
      </c>
      <c r="I327" s="2">
        <f t="shared" si="28"/>
        <v>8</v>
      </c>
      <c r="J327" s="2">
        <f t="shared" si="29"/>
        <v>29</v>
      </c>
    </row>
    <row r="328" spans="1:10">
      <c r="A328" s="2">
        <v>327</v>
      </c>
      <c r="B328" s="3">
        <v>41235</v>
      </c>
      <c r="C328" s="2">
        <v>651</v>
      </c>
      <c r="D328" s="2">
        <v>1615</v>
      </c>
      <c r="E328" s="2">
        <v>0</v>
      </c>
      <c r="F328" s="2">
        <f t="shared" si="26"/>
        <v>7</v>
      </c>
      <c r="G328" s="2">
        <f t="shared" si="25"/>
        <v>16</v>
      </c>
      <c r="H328" s="2" t="str">
        <f t="shared" si="27"/>
        <v>51</v>
      </c>
      <c r="I328" s="2">
        <f t="shared" si="28"/>
        <v>8</v>
      </c>
      <c r="J328" s="2">
        <f t="shared" si="29"/>
        <v>31</v>
      </c>
    </row>
    <row r="329" spans="1:10">
      <c r="A329" s="2">
        <v>328</v>
      </c>
      <c r="B329" s="3">
        <v>41236</v>
      </c>
      <c r="C329" s="2">
        <v>652</v>
      </c>
      <c r="D329" s="2">
        <v>1614</v>
      </c>
      <c r="E329" s="2">
        <v>0</v>
      </c>
      <c r="F329" s="2">
        <f t="shared" si="26"/>
        <v>7</v>
      </c>
      <c r="G329" s="2">
        <f t="shared" si="25"/>
        <v>16</v>
      </c>
      <c r="H329" s="2" t="str">
        <f t="shared" si="27"/>
        <v>52</v>
      </c>
      <c r="I329" s="2">
        <f t="shared" si="28"/>
        <v>8</v>
      </c>
      <c r="J329" s="2">
        <f t="shared" si="29"/>
        <v>32</v>
      </c>
    </row>
    <row r="330" spans="1:10">
      <c r="A330" s="2">
        <v>329</v>
      </c>
      <c r="B330" s="3">
        <v>41237</v>
      </c>
      <c r="C330" s="2">
        <v>653</v>
      </c>
      <c r="D330" s="2">
        <v>1614</v>
      </c>
      <c r="E330" s="2">
        <v>0</v>
      </c>
      <c r="F330" s="2">
        <f t="shared" si="26"/>
        <v>7</v>
      </c>
      <c r="G330" s="2">
        <f t="shared" si="25"/>
        <v>16</v>
      </c>
      <c r="H330" s="2" t="str">
        <f t="shared" si="27"/>
        <v>53</v>
      </c>
      <c r="I330" s="2">
        <f t="shared" si="28"/>
        <v>8</v>
      </c>
      <c r="J330" s="2">
        <f t="shared" si="29"/>
        <v>33</v>
      </c>
    </row>
    <row r="331" spans="1:10">
      <c r="A331" s="2">
        <v>330</v>
      </c>
      <c r="B331" s="3">
        <v>41238</v>
      </c>
      <c r="C331" s="2">
        <v>654</v>
      </c>
      <c r="D331" s="2">
        <v>1613</v>
      </c>
      <c r="E331" s="2">
        <v>0</v>
      </c>
      <c r="F331" s="2">
        <f t="shared" si="26"/>
        <v>7</v>
      </c>
      <c r="G331" s="2">
        <f t="shared" si="25"/>
        <v>16</v>
      </c>
      <c r="H331" s="2" t="str">
        <f t="shared" si="27"/>
        <v>54</v>
      </c>
      <c r="I331" s="2">
        <f t="shared" si="28"/>
        <v>8</v>
      </c>
      <c r="J331" s="2">
        <f t="shared" si="29"/>
        <v>34</v>
      </c>
    </row>
    <row r="332" spans="1:10">
      <c r="A332" s="2">
        <v>331</v>
      </c>
      <c r="B332" s="3">
        <v>41239</v>
      </c>
      <c r="C332" s="2">
        <v>655</v>
      </c>
      <c r="D332" s="2">
        <v>1613</v>
      </c>
      <c r="E332" s="2">
        <v>0</v>
      </c>
      <c r="F332" s="2">
        <f t="shared" si="26"/>
        <v>7</v>
      </c>
      <c r="G332" s="2">
        <f t="shared" si="25"/>
        <v>16</v>
      </c>
      <c r="H332" s="2" t="str">
        <f t="shared" si="27"/>
        <v>55</v>
      </c>
      <c r="I332" s="2">
        <f t="shared" si="28"/>
        <v>8</v>
      </c>
      <c r="J332" s="2">
        <f t="shared" si="29"/>
        <v>35</v>
      </c>
    </row>
    <row r="333" spans="1:10">
      <c r="A333" s="2">
        <v>332</v>
      </c>
      <c r="B333" s="3">
        <v>41240</v>
      </c>
      <c r="C333" s="2">
        <v>657</v>
      </c>
      <c r="D333" s="2">
        <v>1612</v>
      </c>
      <c r="E333" s="2">
        <v>0</v>
      </c>
      <c r="F333" s="2">
        <f t="shared" si="26"/>
        <v>7</v>
      </c>
      <c r="G333" s="2">
        <f t="shared" si="25"/>
        <v>16</v>
      </c>
      <c r="H333" s="2" t="str">
        <f t="shared" si="27"/>
        <v>57</v>
      </c>
      <c r="I333" s="2">
        <f t="shared" si="28"/>
        <v>8</v>
      </c>
      <c r="J333" s="2">
        <f t="shared" si="29"/>
        <v>37</v>
      </c>
    </row>
    <row r="334" spans="1:10">
      <c r="A334" s="2">
        <v>333</v>
      </c>
      <c r="B334" s="3">
        <v>41241</v>
      </c>
      <c r="C334" s="2">
        <v>658</v>
      </c>
      <c r="D334" s="2">
        <v>1612</v>
      </c>
      <c r="E334" s="2">
        <v>0</v>
      </c>
      <c r="F334" s="2">
        <f t="shared" si="26"/>
        <v>7</v>
      </c>
      <c r="G334" s="2">
        <f t="shared" si="25"/>
        <v>16</v>
      </c>
      <c r="H334" s="2" t="str">
        <f t="shared" si="27"/>
        <v>58</v>
      </c>
      <c r="I334" s="2">
        <f t="shared" si="28"/>
        <v>8</v>
      </c>
      <c r="J334" s="2">
        <f t="shared" si="29"/>
        <v>38</v>
      </c>
    </row>
    <row r="335" spans="1:10">
      <c r="A335" s="2">
        <v>334</v>
      </c>
      <c r="B335" s="3">
        <v>41242</v>
      </c>
      <c r="C335" s="2">
        <v>659</v>
      </c>
      <c r="D335" s="2">
        <v>1611</v>
      </c>
      <c r="E335" s="2">
        <v>0</v>
      </c>
      <c r="F335" s="2">
        <f t="shared" si="26"/>
        <v>7</v>
      </c>
      <c r="G335" s="2">
        <f t="shared" si="25"/>
        <v>16</v>
      </c>
      <c r="H335" s="2" t="str">
        <f t="shared" si="27"/>
        <v>59</v>
      </c>
      <c r="I335" s="2">
        <f t="shared" si="28"/>
        <v>8</v>
      </c>
      <c r="J335" s="2">
        <f t="shared" si="29"/>
        <v>39</v>
      </c>
    </row>
    <row r="336" spans="1:10">
      <c r="A336" s="2">
        <v>335</v>
      </c>
      <c r="B336" s="3">
        <v>41243</v>
      </c>
      <c r="C336" s="2">
        <v>700</v>
      </c>
      <c r="D336" s="2">
        <v>1611</v>
      </c>
      <c r="E336" s="2">
        <v>0</v>
      </c>
      <c r="F336" s="2">
        <f t="shared" si="26"/>
        <v>7</v>
      </c>
      <c r="G336" s="2">
        <f t="shared" si="25"/>
        <v>16</v>
      </c>
      <c r="H336" s="2" t="str">
        <f t="shared" si="27"/>
        <v>00</v>
      </c>
      <c r="I336" s="2">
        <f t="shared" si="28"/>
        <v>7</v>
      </c>
      <c r="J336" s="2">
        <f t="shared" si="29"/>
        <v>40</v>
      </c>
    </row>
    <row r="337" spans="1:10">
      <c r="A337" s="2">
        <v>336</v>
      </c>
      <c r="B337" s="3">
        <v>41244</v>
      </c>
      <c r="C337" s="2">
        <v>701</v>
      </c>
      <c r="D337" s="2">
        <v>1611</v>
      </c>
      <c r="E337" s="2">
        <v>0</v>
      </c>
      <c r="F337" s="2">
        <f t="shared" si="26"/>
        <v>7</v>
      </c>
      <c r="G337" s="2">
        <f t="shared" si="25"/>
        <v>16</v>
      </c>
      <c r="H337" s="2" t="str">
        <f t="shared" si="27"/>
        <v>01</v>
      </c>
      <c r="I337" s="2">
        <f t="shared" si="28"/>
        <v>7</v>
      </c>
      <c r="J337" s="2">
        <f t="shared" si="29"/>
        <v>41</v>
      </c>
    </row>
    <row r="338" spans="1:10">
      <c r="A338" s="2">
        <v>337</v>
      </c>
      <c r="B338" s="3">
        <v>41245</v>
      </c>
      <c r="C338" s="2">
        <v>702</v>
      </c>
      <c r="D338" s="2">
        <v>1610</v>
      </c>
      <c r="E338" s="2">
        <v>0</v>
      </c>
      <c r="F338" s="2">
        <f t="shared" si="26"/>
        <v>7</v>
      </c>
      <c r="G338" s="2">
        <f t="shared" si="25"/>
        <v>16</v>
      </c>
      <c r="H338" s="2" t="str">
        <f t="shared" si="27"/>
        <v>02</v>
      </c>
      <c r="I338" s="2">
        <f t="shared" si="28"/>
        <v>7</v>
      </c>
      <c r="J338" s="2">
        <f t="shared" si="29"/>
        <v>42</v>
      </c>
    </row>
    <row r="339" spans="1:10">
      <c r="A339" s="2">
        <v>338</v>
      </c>
      <c r="B339" s="3">
        <v>41246</v>
      </c>
      <c r="C339" s="2">
        <v>703</v>
      </c>
      <c r="D339" s="2">
        <v>1610</v>
      </c>
      <c r="E339" s="2">
        <v>0</v>
      </c>
      <c r="F339" s="2">
        <f t="shared" si="26"/>
        <v>7</v>
      </c>
      <c r="G339" s="2">
        <f t="shared" si="25"/>
        <v>16</v>
      </c>
      <c r="H339" s="2" t="str">
        <f t="shared" si="27"/>
        <v>03</v>
      </c>
      <c r="I339" s="2">
        <f t="shared" si="28"/>
        <v>7</v>
      </c>
      <c r="J339" s="2">
        <f t="shared" si="29"/>
        <v>43</v>
      </c>
    </row>
    <row r="340" spans="1:10">
      <c r="A340" s="2">
        <v>339</v>
      </c>
      <c r="B340" s="3">
        <v>41247</v>
      </c>
      <c r="C340" s="2">
        <v>704</v>
      </c>
      <c r="D340" s="2">
        <v>1610</v>
      </c>
      <c r="E340" s="2">
        <v>0</v>
      </c>
      <c r="F340" s="2">
        <f t="shared" si="26"/>
        <v>7</v>
      </c>
      <c r="G340" s="2">
        <f t="shared" si="25"/>
        <v>16</v>
      </c>
      <c r="H340" s="2" t="str">
        <f t="shared" si="27"/>
        <v>04</v>
      </c>
      <c r="I340" s="2">
        <f t="shared" si="28"/>
        <v>7</v>
      </c>
      <c r="J340" s="2">
        <f t="shared" si="29"/>
        <v>44</v>
      </c>
    </row>
    <row r="341" spans="1:10">
      <c r="A341" s="2">
        <v>340</v>
      </c>
      <c r="B341" s="3">
        <v>41248</v>
      </c>
      <c r="C341" s="2">
        <v>705</v>
      </c>
      <c r="D341" s="2">
        <v>1610</v>
      </c>
      <c r="E341" s="2">
        <v>0</v>
      </c>
      <c r="F341" s="2">
        <f t="shared" si="26"/>
        <v>7</v>
      </c>
      <c r="G341" s="2">
        <f t="shared" si="25"/>
        <v>16</v>
      </c>
      <c r="H341" s="2" t="str">
        <f t="shared" si="27"/>
        <v>05</v>
      </c>
      <c r="I341" s="2">
        <f t="shared" si="28"/>
        <v>7</v>
      </c>
      <c r="J341" s="2">
        <f t="shared" si="29"/>
        <v>45</v>
      </c>
    </row>
    <row r="342" spans="1:10">
      <c r="A342" s="2">
        <v>341</v>
      </c>
      <c r="B342" s="3">
        <v>41249</v>
      </c>
      <c r="C342" s="2">
        <v>706</v>
      </c>
      <c r="D342" s="2">
        <v>1610</v>
      </c>
      <c r="E342" s="2">
        <v>0</v>
      </c>
      <c r="F342" s="2">
        <f t="shared" si="26"/>
        <v>7</v>
      </c>
      <c r="G342" s="2">
        <f t="shared" si="25"/>
        <v>16</v>
      </c>
      <c r="H342" s="2" t="str">
        <f t="shared" si="27"/>
        <v>06</v>
      </c>
      <c r="I342" s="2">
        <f t="shared" si="28"/>
        <v>7</v>
      </c>
      <c r="J342" s="2">
        <f t="shared" si="29"/>
        <v>46</v>
      </c>
    </row>
    <row r="343" spans="1:10">
      <c r="A343" s="2">
        <v>342</v>
      </c>
      <c r="B343" s="3">
        <v>41250</v>
      </c>
      <c r="C343" s="2">
        <v>707</v>
      </c>
      <c r="D343" s="2">
        <v>1609</v>
      </c>
      <c r="E343" s="2">
        <v>0</v>
      </c>
      <c r="F343" s="2">
        <f t="shared" si="26"/>
        <v>7</v>
      </c>
      <c r="G343" s="2">
        <f t="shared" si="25"/>
        <v>16</v>
      </c>
      <c r="H343" s="2" t="str">
        <f t="shared" si="27"/>
        <v>07</v>
      </c>
      <c r="I343" s="2">
        <f t="shared" si="28"/>
        <v>7</v>
      </c>
      <c r="J343" s="2">
        <f t="shared" si="29"/>
        <v>47</v>
      </c>
    </row>
    <row r="344" spans="1:10">
      <c r="A344" s="2">
        <v>343</v>
      </c>
      <c r="B344" s="3">
        <v>41251</v>
      </c>
      <c r="C344" s="2">
        <v>708</v>
      </c>
      <c r="D344" s="2">
        <v>1609</v>
      </c>
      <c r="E344" s="2">
        <v>0</v>
      </c>
      <c r="F344" s="2">
        <f t="shared" si="26"/>
        <v>7</v>
      </c>
      <c r="G344" s="2">
        <f t="shared" si="25"/>
        <v>16</v>
      </c>
      <c r="H344" s="2" t="str">
        <f t="shared" si="27"/>
        <v>08</v>
      </c>
      <c r="I344" s="2">
        <f t="shared" si="28"/>
        <v>7</v>
      </c>
      <c r="J344" s="2">
        <f t="shared" si="29"/>
        <v>48</v>
      </c>
    </row>
    <row r="345" spans="1:10">
      <c r="A345" s="2">
        <v>344</v>
      </c>
      <c r="B345" s="3">
        <v>41252</v>
      </c>
      <c r="C345" s="2">
        <v>709</v>
      </c>
      <c r="D345" s="2">
        <v>1609</v>
      </c>
      <c r="E345" s="2">
        <v>0</v>
      </c>
      <c r="F345" s="2">
        <f t="shared" si="26"/>
        <v>7</v>
      </c>
      <c r="G345" s="2">
        <f t="shared" si="25"/>
        <v>16</v>
      </c>
      <c r="H345" s="2" t="str">
        <f t="shared" si="27"/>
        <v>09</v>
      </c>
      <c r="I345" s="2">
        <f t="shared" si="28"/>
        <v>7</v>
      </c>
      <c r="J345" s="2">
        <f t="shared" si="29"/>
        <v>49</v>
      </c>
    </row>
    <row r="346" spans="1:10">
      <c r="A346" s="2">
        <v>345</v>
      </c>
      <c r="B346" s="3">
        <v>41253</v>
      </c>
      <c r="C346" s="2">
        <v>710</v>
      </c>
      <c r="D346" s="2">
        <v>1609</v>
      </c>
      <c r="E346" s="2">
        <v>0</v>
      </c>
      <c r="F346" s="2">
        <f t="shared" si="26"/>
        <v>7</v>
      </c>
      <c r="G346" s="2">
        <f t="shared" si="25"/>
        <v>16</v>
      </c>
      <c r="H346" s="2" t="str">
        <f t="shared" si="27"/>
        <v>10</v>
      </c>
      <c r="I346" s="2">
        <f t="shared" si="28"/>
        <v>7</v>
      </c>
      <c r="J346" s="2">
        <f t="shared" si="29"/>
        <v>50</v>
      </c>
    </row>
    <row r="347" spans="1:10">
      <c r="A347" s="2">
        <v>346</v>
      </c>
      <c r="B347" s="3">
        <v>41254</v>
      </c>
      <c r="C347" s="2">
        <v>711</v>
      </c>
      <c r="D347" s="2">
        <v>1610</v>
      </c>
      <c r="E347" s="2">
        <v>0</v>
      </c>
      <c r="F347" s="2">
        <f t="shared" si="26"/>
        <v>7</v>
      </c>
      <c r="G347" s="2">
        <f t="shared" si="25"/>
        <v>16</v>
      </c>
      <c r="H347" s="2" t="str">
        <f t="shared" si="27"/>
        <v>11</v>
      </c>
      <c r="I347" s="2">
        <f t="shared" si="28"/>
        <v>7</v>
      </c>
      <c r="J347" s="2">
        <f t="shared" si="29"/>
        <v>51</v>
      </c>
    </row>
    <row r="348" spans="1:10">
      <c r="A348" s="2">
        <v>347</v>
      </c>
      <c r="B348" s="3">
        <v>41255</v>
      </c>
      <c r="C348" s="2">
        <v>712</v>
      </c>
      <c r="D348" s="2">
        <v>1610</v>
      </c>
      <c r="E348" s="2">
        <v>0</v>
      </c>
      <c r="F348" s="2">
        <f t="shared" si="26"/>
        <v>7</v>
      </c>
      <c r="G348" s="2">
        <f t="shared" si="25"/>
        <v>16</v>
      </c>
      <c r="H348" s="2" t="str">
        <f t="shared" si="27"/>
        <v>12</v>
      </c>
      <c r="I348" s="2">
        <f t="shared" si="28"/>
        <v>7</v>
      </c>
      <c r="J348" s="2">
        <f t="shared" si="29"/>
        <v>52</v>
      </c>
    </row>
    <row r="349" spans="1:10">
      <c r="A349" s="2">
        <v>348</v>
      </c>
      <c r="B349" s="3">
        <v>41256</v>
      </c>
      <c r="C349" s="2">
        <v>713</v>
      </c>
      <c r="D349" s="2">
        <v>1610</v>
      </c>
      <c r="E349" s="2">
        <v>0</v>
      </c>
      <c r="F349" s="2">
        <f t="shared" si="26"/>
        <v>7</v>
      </c>
      <c r="G349" s="2">
        <f t="shared" si="25"/>
        <v>16</v>
      </c>
      <c r="H349" s="2" t="str">
        <f t="shared" si="27"/>
        <v>13</v>
      </c>
      <c r="I349" s="2">
        <f t="shared" si="28"/>
        <v>7</v>
      </c>
      <c r="J349" s="2">
        <f t="shared" si="29"/>
        <v>53</v>
      </c>
    </row>
    <row r="350" spans="1:10">
      <c r="A350" s="2">
        <v>349</v>
      </c>
      <c r="B350" s="3">
        <v>41257</v>
      </c>
      <c r="C350" s="2">
        <v>713</v>
      </c>
      <c r="D350" s="2">
        <v>1610</v>
      </c>
      <c r="E350" s="2">
        <v>0</v>
      </c>
      <c r="F350" s="2">
        <f t="shared" si="26"/>
        <v>7</v>
      </c>
      <c r="G350" s="2">
        <f t="shared" si="25"/>
        <v>16</v>
      </c>
      <c r="H350" s="2" t="str">
        <f t="shared" si="27"/>
        <v>13</v>
      </c>
      <c r="I350" s="2">
        <f t="shared" si="28"/>
        <v>7</v>
      </c>
      <c r="J350" s="2">
        <f t="shared" si="29"/>
        <v>53</v>
      </c>
    </row>
    <row r="351" spans="1:10">
      <c r="A351" s="2">
        <v>350</v>
      </c>
      <c r="B351" s="3">
        <v>41258</v>
      </c>
      <c r="C351" s="2">
        <v>714</v>
      </c>
      <c r="D351" s="2">
        <v>1610</v>
      </c>
      <c r="E351" s="2">
        <v>0</v>
      </c>
      <c r="F351" s="2">
        <f t="shared" si="26"/>
        <v>7</v>
      </c>
      <c r="G351" s="2">
        <f t="shared" si="25"/>
        <v>16</v>
      </c>
      <c r="H351" s="2" t="str">
        <f t="shared" si="27"/>
        <v>14</v>
      </c>
      <c r="I351" s="2">
        <f t="shared" si="28"/>
        <v>7</v>
      </c>
      <c r="J351" s="2">
        <f t="shared" si="29"/>
        <v>54</v>
      </c>
    </row>
    <row r="352" spans="1:10">
      <c r="A352" s="2">
        <v>351</v>
      </c>
      <c r="B352" s="3">
        <v>41259</v>
      </c>
      <c r="C352" s="2">
        <v>715</v>
      </c>
      <c r="D352" s="2">
        <v>1611</v>
      </c>
      <c r="E352" s="2">
        <v>0</v>
      </c>
      <c r="F352" s="2">
        <f t="shared" si="26"/>
        <v>7</v>
      </c>
      <c r="G352" s="2">
        <f t="shared" si="25"/>
        <v>16</v>
      </c>
      <c r="H352" s="2" t="str">
        <f t="shared" si="27"/>
        <v>15</v>
      </c>
      <c r="I352" s="2">
        <f t="shared" si="28"/>
        <v>7</v>
      </c>
      <c r="J352" s="2">
        <f t="shared" si="29"/>
        <v>55</v>
      </c>
    </row>
    <row r="353" spans="1:10">
      <c r="A353" s="2">
        <v>352</v>
      </c>
      <c r="B353" s="3">
        <v>41260</v>
      </c>
      <c r="C353" s="2">
        <v>715</v>
      </c>
      <c r="D353" s="2">
        <v>1611</v>
      </c>
      <c r="E353" s="2">
        <v>0</v>
      </c>
      <c r="F353" s="2">
        <f t="shared" si="26"/>
        <v>7</v>
      </c>
      <c r="G353" s="2">
        <f t="shared" si="25"/>
        <v>16</v>
      </c>
      <c r="H353" s="2" t="str">
        <f t="shared" si="27"/>
        <v>15</v>
      </c>
      <c r="I353" s="2">
        <f t="shared" si="28"/>
        <v>7</v>
      </c>
      <c r="J353" s="2">
        <f t="shared" si="29"/>
        <v>55</v>
      </c>
    </row>
    <row r="354" spans="1:10">
      <c r="A354" s="2">
        <v>353</v>
      </c>
      <c r="B354" s="3">
        <v>41261</v>
      </c>
      <c r="C354" s="2">
        <v>716</v>
      </c>
      <c r="D354" s="2">
        <v>1611</v>
      </c>
      <c r="E354" s="2">
        <v>0</v>
      </c>
      <c r="F354" s="2">
        <f t="shared" si="26"/>
        <v>7</v>
      </c>
      <c r="G354" s="2">
        <f t="shared" si="25"/>
        <v>16</v>
      </c>
      <c r="H354" s="2" t="str">
        <f t="shared" si="27"/>
        <v>16</v>
      </c>
      <c r="I354" s="2">
        <f t="shared" si="28"/>
        <v>7</v>
      </c>
      <c r="J354" s="2">
        <f t="shared" si="29"/>
        <v>56</v>
      </c>
    </row>
    <row r="355" spans="1:10">
      <c r="A355" s="2">
        <v>354</v>
      </c>
      <c r="B355" s="3">
        <v>41262</v>
      </c>
      <c r="C355" s="2">
        <v>717</v>
      </c>
      <c r="D355" s="2">
        <v>1612</v>
      </c>
      <c r="E355" s="2">
        <v>0</v>
      </c>
      <c r="F355" s="2">
        <f t="shared" si="26"/>
        <v>7</v>
      </c>
      <c r="G355" s="2">
        <f t="shared" si="25"/>
        <v>16</v>
      </c>
      <c r="H355" s="2" t="str">
        <f t="shared" si="27"/>
        <v>17</v>
      </c>
      <c r="I355" s="2">
        <f t="shared" si="28"/>
        <v>7</v>
      </c>
      <c r="J355" s="2">
        <f t="shared" si="29"/>
        <v>57</v>
      </c>
    </row>
    <row r="356" spans="1:10">
      <c r="A356" s="2">
        <v>355</v>
      </c>
      <c r="B356" s="3">
        <v>41263</v>
      </c>
      <c r="C356" s="2">
        <v>717</v>
      </c>
      <c r="D356" s="2">
        <v>1612</v>
      </c>
      <c r="E356" s="2">
        <v>0</v>
      </c>
      <c r="F356" s="2">
        <f t="shared" si="26"/>
        <v>7</v>
      </c>
      <c r="G356" s="2">
        <f t="shared" si="25"/>
        <v>16</v>
      </c>
      <c r="H356" s="2" t="str">
        <f t="shared" si="27"/>
        <v>17</v>
      </c>
      <c r="I356" s="2">
        <f t="shared" si="28"/>
        <v>7</v>
      </c>
      <c r="J356" s="2">
        <f t="shared" si="29"/>
        <v>57</v>
      </c>
    </row>
    <row r="357" spans="1:10">
      <c r="A357" s="2">
        <v>356</v>
      </c>
      <c r="B357" s="3">
        <v>41264</v>
      </c>
      <c r="C357" s="2">
        <v>718</v>
      </c>
      <c r="D357" s="2">
        <v>1613</v>
      </c>
      <c r="E357" s="2">
        <v>0</v>
      </c>
      <c r="F357" s="2">
        <f t="shared" si="26"/>
        <v>7</v>
      </c>
      <c r="G357" s="2">
        <f t="shared" si="25"/>
        <v>16</v>
      </c>
      <c r="H357" s="2" t="str">
        <f t="shared" si="27"/>
        <v>18</v>
      </c>
      <c r="I357" s="2">
        <f t="shared" si="28"/>
        <v>7</v>
      </c>
      <c r="J357" s="2">
        <f t="shared" si="29"/>
        <v>58</v>
      </c>
    </row>
    <row r="358" spans="1:10">
      <c r="A358" s="2">
        <v>357</v>
      </c>
      <c r="B358" s="3">
        <v>41265</v>
      </c>
      <c r="C358" s="2">
        <v>718</v>
      </c>
      <c r="D358" s="2">
        <v>1613</v>
      </c>
      <c r="E358" s="2">
        <v>0</v>
      </c>
      <c r="F358" s="2">
        <f t="shared" si="26"/>
        <v>7</v>
      </c>
      <c r="G358" s="2">
        <f t="shared" si="25"/>
        <v>16</v>
      </c>
      <c r="H358" s="2" t="str">
        <f t="shared" si="27"/>
        <v>18</v>
      </c>
      <c r="I358" s="2">
        <f t="shared" si="28"/>
        <v>7</v>
      </c>
      <c r="J358" s="2">
        <f t="shared" si="29"/>
        <v>58</v>
      </c>
    </row>
    <row r="359" spans="1:10">
      <c r="A359" s="2">
        <v>358</v>
      </c>
      <c r="B359" s="3">
        <v>41266</v>
      </c>
      <c r="C359" s="2">
        <v>719</v>
      </c>
      <c r="D359" s="2">
        <v>1614</v>
      </c>
      <c r="E359" s="2">
        <v>0</v>
      </c>
      <c r="F359" s="2">
        <f t="shared" si="26"/>
        <v>7</v>
      </c>
      <c r="G359" s="2">
        <f t="shared" si="25"/>
        <v>16</v>
      </c>
      <c r="H359" s="2" t="str">
        <f t="shared" si="27"/>
        <v>19</v>
      </c>
      <c r="I359" s="2">
        <f t="shared" si="28"/>
        <v>7</v>
      </c>
      <c r="J359" s="2">
        <f t="shared" si="29"/>
        <v>59</v>
      </c>
    </row>
    <row r="360" spans="1:10">
      <c r="A360" s="2">
        <v>359</v>
      </c>
      <c r="B360" s="3">
        <v>41267</v>
      </c>
      <c r="C360" s="2">
        <v>719</v>
      </c>
      <c r="D360" s="2">
        <v>1614</v>
      </c>
      <c r="E360" s="2">
        <v>0</v>
      </c>
      <c r="F360" s="2">
        <f t="shared" si="26"/>
        <v>7</v>
      </c>
      <c r="G360" s="2">
        <f t="shared" si="25"/>
        <v>16</v>
      </c>
      <c r="H360" s="2" t="str">
        <f t="shared" si="27"/>
        <v>19</v>
      </c>
      <c r="I360" s="2">
        <f t="shared" si="28"/>
        <v>7</v>
      </c>
      <c r="J360" s="2">
        <f t="shared" si="29"/>
        <v>59</v>
      </c>
    </row>
    <row r="361" spans="1:10">
      <c r="A361" s="2">
        <v>360</v>
      </c>
      <c r="B361" s="3">
        <v>41268</v>
      </c>
      <c r="C361" s="2">
        <v>719</v>
      </c>
      <c r="D361" s="2">
        <v>1615</v>
      </c>
      <c r="E361" s="2">
        <v>0</v>
      </c>
      <c r="F361" s="2">
        <f t="shared" si="26"/>
        <v>7</v>
      </c>
      <c r="G361" s="2">
        <f t="shared" si="25"/>
        <v>16</v>
      </c>
      <c r="H361" s="2" t="str">
        <f t="shared" si="27"/>
        <v>19</v>
      </c>
      <c r="I361" s="2">
        <f t="shared" si="28"/>
        <v>7</v>
      </c>
      <c r="J361" s="2">
        <f t="shared" si="29"/>
        <v>59</v>
      </c>
    </row>
    <row r="362" spans="1:10">
      <c r="A362" s="2">
        <v>361</v>
      </c>
      <c r="B362" s="3">
        <v>41269</v>
      </c>
      <c r="C362" s="2">
        <v>720</v>
      </c>
      <c r="D362" s="2">
        <v>1616</v>
      </c>
      <c r="E362" s="2">
        <v>0</v>
      </c>
      <c r="F362" s="2">
        <f t="shared" si="26"/>
        <v>7</v>
      </c>
      <c r="G362" s="2">
        <f t="shared" si="25"/>
        <v>16</v>
      </c>
      <c r="H362" s="2" t="str">
        <f t="shared" si="27"/>
        <v>20</v>
      </c>
      <c r="I362" s="2">
        <f t="shared" si="28"/>
        <v>8</v>
      </c>
      <c r="J362" s="2">
        <f t="shared" si="29"/>
        <v>0</v>
      </c>
    </row>
    <row r="363" spans="1:10">
      <c r="A363" s="2">
        <v>362</v>
      </c>
      <c r="B363" s="3">
        <v>41270</v>
      </c>
      <c r="C363" s="2">
        <v>720</v>
      </c>
      <c r="D363" s="2">
        <v>1616</v>
      </c>
      <c r="E363" s="2">
        <v>0</v>
      </c>
      <c r="F363" s="2">
        <f t="shared" si="26"/>
        <v>7</v>
      </c>
      <c r="G363" s="2">
        <f t="shared" si="25"/>
        <v>16</v>
      </c>
      <c r="H363" s="2" t="str">
        <f t="shared" si="27"/>
        <v>20</v>
      </c>
      <c r="I363" s="2">
        <f t="shared" si="28"/>
        <v>8</v>
      </c>
      <c r="J363" s="2">
        <f t="shared" si="29"/>
        <v>0</v>
      </c>
    </row>
    <row r="364" spans="1:10">
      <c r="A364" s="2">
        <v>363</v>
      </c>
      <c r="B364" s="3">
        <v>41271</v>
      </c>
      <c r="C364" s="2">
        <v>720</v>
      </c>
      <c r="D364" s="2">
        <v>1617</v>
      </c>
      <c r="E364" s="2">
        <v>0</v>
      </c>
      <c r="F364" s="2">
        <f t="shared" si="26"/>
        <v>7</v>
      </c>
      <c r="G364" s="2">
        <f t="shared" si="25"/>
        <v>16</v>
      </c>
      <c r="H364" s="2" t="str">
        <f t="shared" si="27"/>
        <v>20</v>
      </c>
      <c r="I364" s="2">
        <f t="shared" si="28"/>
        <v>8</v>
      </c>
      <c r="J364" s="2">
        <f t="shared" si="29"/>
        <v>0</v>
      </c>
    </row>
    <row r="365" spans="1:10">
      <c r="A365" s="2">
        <v>364</v>
      </c>
      <c r="B365" s="3">
        <v>41272</v>
      </c>
      <c r="C365" s="2">
        <v>720</v>
      </c>
      <c r="D365" s="2">
        <v>1618</v>
      </c>
      <c r="E365" s="2">
        <v>0</v>
      </c>
      <c r="F365" s="2">
        <f t="shared" si="26"/>
        <v>7</v>
      </c>
      <c r="G365" s="2">
        <f t="shared" si="25"/>
        <v>16</v>
      </c>
      <c r="H365" s="2" t="str">
        <f t="shared" si="27"/>
        <v>20</v>
      </c>
      <c r="I365" s="2">
        <f t="shared" si="28"/>
        <v>8</v>
      </c>
      <c r="J365" s="2">
        <f t="shared" si="29"/>
        <v>0</v>
      </c>
    </row>
    <row r="366" spans="1:10">
      <c r="A366" s="2">
        <v>365</v>
      </c>
      <c r="B366" s="3">
        <v>41273</v>
      </c>
      <c r="C366" s="2">
        <v>721</v>
      </c>
      <c r="D366" s="2">
        <v>1619</v>
      </c>
      <c r="E366" s="2">
        <v>0</v>
      </c>
      <c r="F366" s="2">
        <f t="shared" si="26"/>
        <v>7</v>
      </c>
      <c r="G366" s="2">
        <f t="shared" si="25"/>
        <v>16</v>
      </c>
      <c r="H366" s="2" t="str">
        <f t="shared" si="27"/>
        <v>21</v>
      </c>
      <c r="I366" s="2">
        <f t="shared" si="28"/>
        <v>8</v>
      </c>
      <c r="J366" s="2">
        <f t="shared" si="29"/>
        <v>1</v>
      </c>
    </row>
    <row r="367" spans="1:10">
      <c r="A367" s="2">
        <v>366</v>
      </c>
      <c r="B367" s="3">
        <v>41274</v>
      </c>
      <c r="C367" s="2">
        <v>721</v>
      </c>
      <c r="D367" s="2">
        <v>1620</v>
      </c>
      <c r="E367" s="2">
        <v>0</v>
      </c>
      <c r="F367" s="2">
        <f t="shared" si="26"/>
        <v>7</v>
      </c>
      <c r="G367" s="2">
        <f t="shared" si="25"/>
        <v>16</v>
      </c>
      <c r="H367" s="2" t="str">
        <f t="shared" si="27"/>
        <v>21</v>
      </c>
      <c r="I367" s="2">
        <f t="shared" si="28"/>
        <v>8</v>
      </c>
      <c r="J367" s="2">
        <f t="shared" si="29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B98D-83C3-448D-BF69-266E5268A4EC}">
  <dimension ref="A1:N367"/>
  <sheetViews>
    <sheetView tabSelected="1" zoomScale="152" zoomScaleNormal="152" workbookViewId="0">
      <pane ySplit="1" topLeftCell="A2" activePane="bottomLeft" state="frozen"/>
      <selection pane="bottomLeft" activeCell="A3" sqref="A3"/>
    </sheetView>
  </sheetViews>
  <sheetFormatPr defaultRowHeight="12.75"/>
  <cols>
    <col min="2" max="2" width="8.85546875" style="2" customWidth="1"/>
    <col min="3" max="4" width="10.42578125" style="2" customWidth="1"/>
    <col min="5" max="5" width="18.7109375" style="2" customWidth="1"/>
    <col min="6" max="6" width="17.7109375" style="2" bestFit="1" customWidth="1"/>
    <col min="7" max="7" width="17.7109375" style="2" hidden="1" customWidth="1"/>
    <col min="8" max="8" width="13.42578125" hidden="1" customWidth="1"/>
    <col min="9" max="10" width="11.7109375" style="2" hidden="1" customWidth="1"/>
    <col min="11" max="11" width="13.42578125" hidden="1" customWidth="1"/>
    <col min="12" max="12" width="9" hidden="1" customWidth="1"/>
    <col min="13" max="13" width="0" hidden="1" customWidth="1"/>
    <col min="14" max="14" width="10.85546875" style="2" customWidth="1"/>
  </cols>
  <sheetData>
    <row r="1" spans="1:14">
      <c r="A1" s="15" t="s">
        <v>25</v>
      </c>
      <c r="B1" s="5" t="s">
        <v>3</v>
      </c>
      <c r="C1" s="5" t="s">
        <v>4</v>
      </c>
      <c r="D1" s="11" t="s">
        <v>24</v>
      </c>
      <c r="E1" s="5" t="s">
        <v>26</v>
      </c>
      <c r="F1" s="5" t="s">
        <v>27</v>
      </c>
      <c r="G1" s="5" t="s">
        <v>16</v>
      </c>
      <c r="H1" s="5" t="s">
        <v>17</v>
      </c>
      <c r="I1" s="5" t="s">
        <v>12</v>
      </c>
      <c r="J1" s="11" t="s">
        <v>22</v>
      </c>
      <c r="K1" s="5" t="s">
        <v>18</v>
      </c>
      <c r="L1" s="11" t="s">
        <v>20</v>
      </c>
      <c r="M1" s="11" t="s">
        <v>23</v>
      </c>
      <c r="N1" s="11" t="s">
        <v>21</v>
      </c>
    </row>
    <row r="2" spans="1:14">
      <c r="A2" s="2">
        <v>11</v>
      </c>
      <c r="B2" s="2">
        <v>1</v>
      </c>
      <c r="C2" s="13">
        <v>40544</v>
      </c>
      <c r="D2" s="14">
        <v>40909</v>
      </c>
      <c r="E2" s="2">
        <v>721</v>
      </c>
      <c r="F2" s="2">
        <v>1620</v>
      </c>
      <c r="G2" s="2">
        <v>0</v>
      </c>
      <c r="H2" s="2">
        <f>VALUE(LEFT(E2,1))</f>
        <v>7</v>
      </c>
      <c r="I2" s="2" t="str">
        <f t="shared" ref="I2:I65" si="0">RIGHT(E2,2)</f>
        <v>21</v>
      </c>
      <c r="J2" s="10">
        <f>TIME(H2,I2,0)</f>
        <v>0.30625000000000002</v>
      </c>
      <c r="K2" s="2">
        <f>VALUE(LEFT(F2,2))</f>
        <v>16</v>
      </c>
      <c r="L2">
        <f>VALUE(RIGHT(F2,2))</f>
        <v>20</v>
      </c>
      <c r="M2" s="10">
        <f>TIME(K2,L2,0)</f>
        <v>0.68055555555555558</v>
      </c>
      <c r="N2" s="12">
        <f>(M2-J2)*24</f>
        <v>8.9833333333333343</v>
      </c>
    </row>
    <row r="3" spans="1:14">
      <c r="A3" s="2">
        <f t="shared" ref="A3:A66" si="1">B3+10</f>
        <v>12</v>
      </c>
      <c r="B3" s="2">
        <v>2</v>
      </c>
      <c r="C3" s="13">
        <v>40545</v>
      </c>
      <c r="D3" s="14">
        <v>40910</v>
      </c>
      <c r="E3" s="2">
        <v>721</v>
      </c>
      <c r="F3" s="2">
        <v>1621</v>
      </c>
      <c r="G3" s="2">
        <v>0</v>
      </c>
      <c r="H3" s="2">
        <f t="shared" ref="H3:H66" si="2">VALUE(LEFT(E3,1))</f>
        <v>7</v>
      </c>
      <c r="I3" s="2" t="str">
        <f t="shared" si="0"/>
        <v>21</v>
      </c>
      <c r="J3" s="10">
        <f t="shared" ref="J3:J66" si="3">TIME(H3,I3,0)</f>
        <v>0.30625000000000002</v>
      </c>
      <c r="K3" s="2">
        <f t="shared" ref="K3:K66" si="4">VALUE(LEFT(F3,2))</f>
        <v>16</v>
      </c>
      <c r="L3">
        <f t="shared" ref="L3:L66" si="5">VALUE(RIGHT(F3,2))</f>
        <v>21</v>
      </c>
      <c r="M3" s="10">
        <f t="shared" ref="M3:M66" si="6">TIME(K3,L3,0)</f>
        <v>0.68125000000000002</v>
      </c>
      <c r="N3" s="12">
        <f t="shared" ref="N3:N66" si="7">(M3-J3)*24</f>
        <v>9</v>
      </c>
    </row>
    <row r="4" spans="1:14">
      <c r="A4" s="2">
        <f t="shared" si="1"/>
        <v>13</v>
      </c>
      <c r="B4" s="2">
        <v>3</v>
      </c>
      <c r="C4" s="13">
        <v>40546</v>
      </c>
      <c r="D4" s="14">
        <v>40911</v>
      </c>
      <c r="E4" s="2">
        <v>721</v>
      </c>
      <c r="F4" s="2">
        <v>1622</v>
      </c>
      <c r="G4" s="2">
        <v>0</v>
      </c>
      <c r="H4" s="2">
        <f t="shared" si="2"/>
        <v>7</v>
      </c>
      <c r="I4" s="2" t="str">
        <f t="shared" si="0"/>
        <v>21</v>
      </c>
      <c r="J4" s="10">
        <f t="shared" si="3"/>
        <v>0.30625000000000002</v>
      </c>
      <c r="K4" s="2">
        <f t="shared" si="4"/>
        <v>16</v>
      </c>
      <c r="L4">
        <f t="shared" si="5"/>
        <v>22</v>
      </c>
      <c r="M4" s="10">
        <f t="shared" si="6"/>
        <v>0.68194444444444446</v>
      </c>
      <c r="N4" s="12">
        <f t="shared" si="7"/>
        <v>9.0166666666666657</v>
      </c>
    </row>
    <row r="5" spans="1:14">
      <c r="A5" s="2">
        <f t="shared" si="1"/>
        <v>14</v>
      </c>
      <c r="B5" s="2">
        <v>4</v>
      </c>
      <c r="C5" s="13">
        <v>40547</v>
      </c>
      <c r="D5" s="14">
        <v>40912</v>
      </c>
      <c r="E5" s="2">
        <v>721</v>
      </c>
      <c r="F5" s="2">
        <v>1623</v>
      </c>
      <c r="G5" s="2">
        <v>0</v>
      </c>
      <c r="H5" s="2">
        <f t="shared" si="2"/>
        <v>7</v>
      </c>
      <c r="I5" s="2" t="str">
        <f t="shared" si="0"/>
        <v>21</v>
      </c>
      <c r="J5" s="10">
        <f t="shared" si="3"/>
        <v>0.30625000000000002</v>
      </c>
      <c r="K5" s="2">
        <f t="shared" si="4"/>
        <v>16</v>
      </c>
      <c r="L5">
        <f t="shared" si="5"/>
        <v>23</v>
      </c>
      <c r="M5" s="10">
        <f t="shared" si="6"/>
        <v>0.68263888888888891</v>
      </c>
      <c r="N5" s="12">
        <f t="shared" si="7"/>
        <v>9.0333333333333332</v>
      </c>
    </row>
    <row r="6" spans="1:14">
      <c r="A6" s="2">
        <f t="shared" si="1"/>
        <v>15</v>
      </c>
      <c r="B6" s="2">
        <v>5</v>
      </c>
      <c r="C6" s="13">
        <v>40548</v>
      </c>
      <c r="D6" s="14">
        <v>40913</v>
      </c>
      <c r="E6" s="2">
        <v>721</v>
      </c>
      <c r="F6" s="2">
        <v>1624</v>
      </c>
      <c r="G6" s="2">
        <v>0</v>
      </c>
      <c r="H6" s="2">
        <f t="shared" si="2"/>
        <v>7</v>
      </c>
      <c r="I6" s="2" t="str">
        <f t="shared" si="0"/>
        <v>21</v>
      </c>
      <c r="J6" s="10">
        <f t="shared" si="3"/>
        <v>0.30625000000000002</v>
      </c>
      <c r="K6" s="2">
        <f t="shared" si="4"/>
        <v>16</v>
      </c>
      <c r="L6">
        <f t="shared" si="5"/>
        <v>24</v>
      </c>
      <c r="M6" s="10">
        <f t="shared" si="6"/>
        <v>0.68333333333333335</v>
      </c>
      <c r="N6" s="12">
        <f t="shared" si="7"/>
        <v>9.0500000000000007</v>
      </c>
    </row>
    <row r="7" spans="1:14">
      <c r="A7" s="2">
        <f t="shared" si="1"/>
        <v>16</v>
      </c>
      <c r="B7" s="2">
        <v>6</v>
      </c>
      <c r="C7" s="13">
        <v>40549</v>
      </c>
      <c r="D7" s="14">
        <v>40914</v>
      </c>
      <c r="E7" s="2">
        <v>721</v>
      </c>
      <c r="F7" s="2">
        <v>1625</v>
      </c>
      <c r="G7" s="2">
        <v>0</v>
      </c>
      <c r="H7" s="2">
        <f t="shared" si="2"/>
        <v>7</v>
      </c>
      <c r="I7" s="2" t="str">
        <f t="shared" si="0"/>
        <v>21</v>
      </c>
      <c r="J7" s="10">
        <f t="shared" si="3"/>
        <v>0.30625000000000002</v>
      </c>
      <c r="K7" s="2">
        <f t="shared" si="4"/>
        <v>16</v>
      </c>
      <c r="L7">
        <f t="shared" si="5"/>
        <v>25</v>
      </c>
      <c r="M7" s="10">
        <f t="shared" si="6"/>
        <v>0.68402777777777779</v>
      </c>
      <c r="N7" s="12">
        <f t="shared" si="7"/>
        <v>9.0666666666666664</v>
      </c>
    </row>
    <row r="8" spans="1:14">
      <c r="A8" s="2">
        <f t="shared" si="1"/>
        <v>17</v>
      </c>
      <c r="B8" s="2">
        <v>7</v>
      </c>
      <c r="C8" s="13">
        <v>40550</v>
      </c>
      <c r="D8" s="14">
        <v>40915</v>
      </c>
      <c r="E8" s="2">
        <v>720</v>
      </c>
      <c r="F8" s="2">
        <v>1626</v>
      </c>
      <c r="G8" s="2">
        <v>0</v>
      </c>
      <c r="H8" s="2">
        <f t="shared" si="2"/>
        <v>7</v>
      </c>
      <c r="I8" s="2" t="str">
        <f t="shared" si="0"/>
        <v>20</v>
      </c>
      <c r="J8" s="10">
        <f t="shared" si="3"/>
        <v>0.30555555555555558</v>
      </c>
      <c r="K8" s="2">
        <f t="shared" si="4"/>
        <v>16</v>
      </c>
      <c r="L8">
        <f t="shared" si="5"/>
        <v>26</v>
      </c>
      <c r="M8" s="10">
        <f t="shared" si="6"/>
        <v>0.68472222222222223</v>
      </c>
      <c r="N8" s="12">
        <f t="shared" si="7"/>
        <v>9.1</v>
      </c>
    </row>
    <row r="9" spans="1:14">
      <c r="A9" s="2">
        <f t="shared" si="1"/>
        <v>18</v>
      </c>
      <c r="B9" s="2">
        <v>8</v>
      </c>
      <c r="C9" s="13">
        <v>40551</v>
      </c>
      <c r="D9" s="14">
        <v>40916</v>
      </c>
      <c r="E9" s="2">
        <v>720</v>
      </c>
      <c r="F9" s="2">
        <v>1627</v>
      </c>
      <c r="G9" s="2">
        <v>0</v>
      </c>
      <c r="H9" s="2">
        <f t="shared" si="2"/>
        <v>7</v>
      </c>
      <c r="I9" s="2" t="str">
        <f t="shared" si="0"/>
        <v>20</v>
      </c>
      <c r="J9" s="10">
        <f t="shared" si="3"/>
        <v>0.30555555555555558</v>
      </c>
      <c r="K9" s="2">
        <f t="shared" si="4"/>
        <v>16</v>
      </c>
      <c r="L9">
        <f t="shared" si="5"/>
        <v>27</v>
      </c>
      <c r="M9" s="10">
        <f t="shared" si="6"/>
        <v>0.68541666666666667</v>
      </c>
      <c r="N9" s="12">
        <f t="shared" si="7"/>
        <v>9.1166666666666671</v>
      </c>
    </row>
    <row r="10" spans="1:14">
      <c r="A10" s="2">
        <f t="shared" si="1"/>
        <v>19</v>
      </c>
      <c r="B10" s="2">
        <v>9</v>
      </c>
      <c r="C10" s="13">
        <v>40552</v>
      </c>
      <c r="D10" s="14">
        <v>40917</v>
      </c>
      <c r="E10" s="2">
        <v>720</v>
      </c>
      <c r="F10" s="2">
        <v>1628</v>
      </c>
      <c r="G10" s="2">
        <v>0</v>
      </c>
      <c r="H10" s="2">
        <f t="shared" si="2"/>
        <v>7</v>
      </c>
      <c r="I10" s="2" t="str">
        <f t="shared" si="0"/>
        <v>20</v>
      </c>
      <c r="J10" s="10">
        <f t="shared" si="3"/>
        <v>0.30555555555555558</v>
      </c>
      <c r="K10" s="2">
        <f t="shared" si="4"/>
        <v>16</v>
      </c>
      <c r="L10">
        <f t="shared" si="5"/>
        <v>28</v>
      </c>
      <c r="M10" s="10">
        <f t="shared" si="6"/>
        <v>0.68611111111111112</v>
      </c>
      <c r="N10" s="12">
        <f t="shared" si="7"/>
        <v>9.1333333333333329</v>
      </c>
    </row>
    <row r="11" spans="1:14">
      <c r="A11" s="2">
        <f t="shared" si="1"/>
        <v>20</v>
      </c>
      <c r="B11" s="2">
        <v>10</v>
      </c>
      <c r="C11" s="13">
        <v>40553</v>
      </c>
      <c r="D11" s="14">
        <v>40918</v>
      </c>
      <c r="E11" s="2">
        <v>720</v>
      </c>
      <c r="F11" s="2">
        <v>1629</v>
      </c>
      <c r="G11" s="2">
        <v>0</v>
      </c>
      <c r="H11" s="2">
        <f t="shared" si="2"/>
        <v>7</v>
      </c>
      <c r="I11" s="2" t="str">
        <f t="shared" si="0"/>
        <v>20</v>
      </c>
      <c r="J11" s="10">
        <f t="shared" si="3"/>
        <v>0.30555555555555558</v>
      </c>
      <c r="K11" s="2">
        <f t="shared" si="4"/>
        <v>16</v>
      </c>
      <c r="L11">
        <f t="shared" si="5"/>
        <v>29</v>
      </c>
      <c r="M11" s="10">
        <f t="shared" si="6"/>
        <v>0.68680555555555556</v>
      </c>
      <c r="N11" s="12">
        <f t="shared" si="7"/>
        <v>9.1499999999999986</v>
      </c>
    </row>
    <row r="12" spans="1:14">
      <c r="A12" s="2">
        <f t="shared" si="1"/>
        <v>21</v>
      </c>
      <c r="B12" s="2">
        <v>11</v>
      </c>
      <c r="C12" s="13">
        <v>40554</v>
      </c>
      <c r="D12" s="14">
        <v>40919</v>
      </c>
      <c r="E12" s="2">
        <v>719</v>
      </c>
      <c r="F12" s="2">
        <v>1630</v>
      </c>
      <c r="G12" s="2">
        <v>0</v>
      </c>
      <c r="H12" s="2">
        <f t="shared" si="2"/>
        <v>7</v>
      </c>
      <c r="I12" s="2" t="str">
        <f t="shared" si="0"/>
        <v>19</v>
      </c>
      <c r="J12" s="10">
        <f t="shared" si="3"/>
        <v>0.30486111111111114</v>
      </c>
      <c r="K12" s="2">
        <f t="shared" si="4"/>
        <v>16</v>
      </c>
      <c r="L12">
        <f t="shared" si="5"/>
        <v>30</v>
      </c>
      <c r="M12" s="10">
        <f t="shared" si="6"/>
        <v>0.6875</v>
      </c>
      <c r="N12" s="12">
        <f t="shared" si="7"/>
        <v>9.1833333333333336</v>
      </c>
    </row>
    <row r="13" spans="1:14">
      <c r="A13" s="2">
        <f t="shared" si="1"/>
        <v>22</v>
      </c>
      <c r="B13" s="2">
        <v>12</v>
      </c>
      <c r="C13" s="13">
        <v>40555</v>
      </c>
      <c r="D13" s="14">
        <v>40920</v>
      </c>
      <c r="E13" s="2">
        <v>719</v>
      </c>
      <c r="F13" s="2">
        <v>1631</v>
      </c>
      <c r="G13" s="2">
        <v>0</v>
      </c>
      <c r="H13" s="2">
        <f t="shared" si="2"/>
        <v>7</v>
      </c>
      <c r="I13" s="2" t="str">
        <f t="shared" si="0"/>
        <v>19</v>
      </c>
      <c r="J13" s="10">
        <f t="shared" si="3"/>
        <v>0.30486111111111114</v>
      </c>
      <c r="K13" s="2">
        <f t="shared" si="4"/>
        <v>16</v>
      </c>
      <c r="L13">
        <f t="shared" si="5"/>
        <v>31</v>
      </c>
      <c r="M13" s="10">
        <f t="shared" si="6"/>
        <v>0.68819444444444444</v>
      </c>
      <c r="N13" s="12">
        <f t="shared" si="7"/>
        <v>9.1999999999999993</v>
      </c>
    </row>
    <row r="14" spans="1:14">
      <c r="A14" s="2">
        <f t="shared" si="1"/>
        <v>23</v>
      </c>
      <c r="B14" s="2">
        <v>13</v>
      </c>
      <c r="C14" s="13">
        <v>40556</v>
      </c>
      <c r="D14" s="14">
        <v>40921</v>
      </c>
      <c r="E14" s="2">
        <v>719</v>
      </c>
      <c r="F14" s="2">
        <v>1632</v>
      </c>
      <c r="G14" s="2">
        <v>0</v>
      </c>
      <c r="H14" s="2">
        <f t="shared" si="2"/>
        <v>7</v>
      </c>
      <c r="I14" s="2" t="str">
        <f t="shared" si="0"/>
        <v>19</v>
      </c>
      <c r="J14" s="10">
        <f t="shared" si="3"/>
        <v>0.30486111111111114</v>
      </c>
      <c r="K14" s="2">
        <f t="shared" si="4"/>
        <v>16</v>
      </c>
      <c r="L14">
        <f t="shared" si="5"/>
        <v>32</v>
      </c>
      <c r="M14" s="10">
        <f t="shared" si="6"/>
        <v>0.68888888888888888</v>
      </c>
      <c r="N14" s="12">
        <f t="shared" si="7"/>
        <v>9.216666666666665</v>
      </c>
    </row>
    <row r="15" spans="1:14">
      <c r="A15" s="2">
        <f t="shared" si="1"/>
        <v>24</v>
      </c>
      <c r="B15" s="2">
        <v>14</v>
      </c>
      <c r="C15" s="13">
        <v>40557</v>
      </c>
      <c r="D15" s="14">
        <v>40922</v>
      </c>
      <c r="E15" s="2">
        <v>718</v>
      </c>
      <c r="F15" s="2">
        <v>1633</v>
      </c>
      <c r="G15" s="2">
        <v>0</v>
      </c>
      <c r="H15" s="2">
        <f t="shared" si="2"/>
        <v>7</v>
      </c>
      <c r="I15" s="2" t="str">
        <f t="shared" si="0"/>
        <v>18</v>
      </c>
      <c r="J15" s="10">
        <f t="shared" si="3"/>
        <v>0.30416666666666664</v>
      </c>
      <c r="K15" s="2">
        <f t="shared" si="4"/>
        <v>16</v>
      </c>
      <c r="L15">
        <f t="shared" si="5"/>
        <v>33</v>
      </c>
      <c r="M15" s="10">
        <f t="shared" si="6"/>
        <v>0.68958333333333333</v>
      </c>
      <c r="N15" s="12">
        <f t="shared" si="7"/>
        <v>9.25</v>
      </c>
    </row>
    <row r="16" spans="1:14">
      <c r="A16" s="2">
        <f t="shared" si="1"/>
        <v>25</v>
      </c>
      <c r="B16" s="2">
        <v>15</v>
      </c>
      <c r="C16" s="13">
        <v>40558</v>
      </c>
      <c r="D16" s="14">
        <v>40923</v>
      </c>
      <c r="E16" s="2">
        <v>718</v>
      </c>
      <c r="F16" s="2">
        <v>1635</v>
      </c>
      <c r="G16" s="2">
        <v>0</v>
      </c>
      <c r="H16" s="2">
        <f t="shared" si="2"/>
        <v>7</v>
      </c>
      <c r="I16" s="2" t="str">
        <f t="shared" si="0"/>
        <v>18</v>
      </c>
      <c r="J16" s="10">
        <f t="shared" si="3"/>
        <v>0.30416666666666664</v>
      </c>
      <c r="K16" s="2">
        <f t="shared" si="4"/>
        <v>16</v>
      </c>
      <c r="L16">
        <f t="shared" si="5"/>
        <v>35</v>
      </c>
      <c r="M16" s="10">
        <f t="shared" si="6"/>
        <v>0.69097222222222221</v>
      </c>
      <c r="N16" s="12">
        <f t="shared" si="7"/>
        <v>9.2833333333333332</v>
      </c>
    </row>
    <row r="17" spans="1:14">
      <c r="A17" s="2">
        <f t="shared" si="1"/>
        <v>26</v>
      </c>
      <c r="B17" s="2">
        <v>16</v>
      </c>
      <c r="C17" s="13">
        <v>40559</v>
      </c>
      <c r="D17" s="14">
        <v>40924</v>
      </c>
      <c r="E17" s="2">
        <v>717</v>
      </c>
      <c r="F17" s="2">
        <v>1636</v>
      </c>
      <c r="G17" s="2">
        <v>0</v>
      </c>
      <c r="H17" s="2">
        <f t="shared" si="2"/>
        <v>7</v>
      </c>
      <c r="I17" s="2" t="str">
        <f t="shared" si="0"/>
        <v>17</v>
      </c>
      <c r="J17" s="10">
        <f t="shared" si="3"/>
        <v>0.3034722222222222</v>
      </c>
      <c r="K17" s="2">
        <f t="shared" si="4"/>
        <v>16</v>
      </c>
      <c r="L17">
        <f t="shared" si="5"/>
        <v>36</v>
      </c>
      <c r="M17" s="10">
        <f t="shared" si="6"/>
        <v>0.69166666666666665</v>
      </c>
      <c r="N17" s="12">
        <f t="shared" si="7"/>
        <v>9.3166666666666664</v>
      </c>
    </row>
    <row r="18" spans="1:14">
      <c r="A18" s="2">
        <f t="shared" si="1"/>
        <v>27</v>
      </c>
      <c r="B18" s="2">
        <v>17</v>
      </c>
      <c r="C18" s="13">
        <v>40560</v>
      </c>
      <c r="D18" s="14">
        <v>40925</v>
      </c>
      <c r="E18" s="2">
        <v>717</v>
      </c>
      <c r="F18" s="2">
        <v>1637</v>
      </c>
      <c r="G18" s="2">
        <v>0</v>
      </c>
      <c r="H18" s="2">
        <f t="shared" si="2"/>
        <v>7</v>
      </c>
      <c r="I18" s="2" t="str">
        <f t="shared" si="0"/>
        <v>17</v>
      </c>
      <c r="J18" s="10">
        <f t="shared" si="3"/>
        <v>0.3034722222222222</v>
      </c>
      <c r="K18" s="2">
        <f t="shared" si="4"/>
        <v>16</v>
      </c>
      <c r="L18">
        <f t="shared" si="5"/>
        <v>37</v>
      </c>
      <c r="M18" s="10">
        <f t="shared" si="6"/>
        <v>0.69236111111111109</v>
      </c>
      <c r="N18" s="12">
        <f t="shared" si="7"/>
        <v>9.3333333333333339</v>
      </c>
    </row>
    <row r="19" spans="1:14">
      <c r="A19" s="2">
        <f t="shared" si="1"/>
        <v>28</v>
      </c>
      <c r="B19" s="2">
        <v>18</v>
      </c>
      <c r="C19" s="13">
        <v>40561</v>
      </c>
      <c r="D19" s="14">
        <v>40926</v>
      </c>
      <c r="E19" s="2">
        <v>716</v>
      </c>
      <c r="F19" s="2">
        <v>1638</v>
      </c>
      <c r="G19" s="2">
        <v>0</v>
      </c>
      <c r="H19" s="2">
        <f t="shared" si="2"/>
        <v>7</v>
      </c>
      <c r="I19" s="2" t="str">
        <f t="shared" si="0"/>
        <v>16</v>
      </c>
      <c r="J19" s="10">
        <f t="shared" si="3"/>
        <v>0.30277777777777776</v>
      </c>
      <c r="K19" s="2">
        <f t="shared" si="4"/>
        <v>16</v>
      </c>
      <c r="L19">
        <f t="shared" si="5"/>
        <v>38</v>
      </c>
      <c r="M19" s="10">
        <f t="shared" si="6"/>
        <v>0.69305555555555554</v>
      </c>
      <c r="N19" s="12">
        <f t="shared" si="7"/>
        <v>9.3666666666666671</v>
      </c>
    </row>
    <row r="20" spans="1:14">
      <c r="A20" s="2">
        <f t="shared" si="1"/>
        <v>29</v>
      </c>
      <c r="B20" s="2">
        <v>19</v>
      </c>
      <c r="C20" s="13">
        <v>40562</v>
      </c>
      <c r="D20" s="14">
        <v>40927</v>
      </c>
      <c r="E20" s="2">
        <v>715</v>
      </c>
      <c r="F20" s="2">
        <v>1640</v>
      </c>
      <c r="G20" s="2">
        <v>0</v>
      </c>
      <c r="H20" s="2">
        <f t="shared" si="2"/>
        <v>7</v>
      </c>
      <c r="I20" s="2" t="str">
        <f t="shared" si="0"/>
        <v>15</v>
      </c>
      <c r="J20" s="10">
        <f t="shared" si="3"/>
        <v>0.30208333333333331</v>
      </c>
      <c r="K20" s="2">
        <f t="shared" si="4"/>
        <v>16</v>
      </c>
      <c r="L20">
        <f t="shared" si="5"/>
        <v>40</v>
      </c>
      <c r="M20" s="10">
        <f t="shared" si="6"/>
        <v>0.69444444444444442</v>
      </c>
      <c r="N20" s="12">
        <f t="shared" si="7"/>
        <v>9.4166666666666661</v>
      </c>
    </row>
    <row r="21" spans="1:14">
      <c r="A21" s="2">
        <f t="shared" si="1"/>
        <v>30</v>
      </c>
      <c r="B21" s="2">
        <v>20</v>
      </c>
      <c r="C21" s="13">
        <v>40563</v>
      </c>
      <c r="D21" s="14">
        <v>40928</v>
      </c>
      <c r="E21" s="2">
        <v>715</v>
      </c>
      <c r="F21" s="2">
        <v>1641</v>
      </c>
      <c r="G21" s="2">
        <v>0</v>
      </c>
      <c r="H21" s="2">
        <f t="shared" si="2"/>
        <v>7</v>
      </c>
      <c r="I21" s="2" t="str">
        <f t="shared" si="0"/>
        <v>15</v>
      </c>
      <c r="J21" s="10">
        <f t="shared" si="3"/>
        <v>0.30208333333333331</v>
      </c>
      <c r="K21" s="2">
        <f t="shared" si="4"/>
        <v>16</v>
      </c>
      <c r="L21">
        <f t="shared" si="5"/>
        <v>41</v>
      </c>
      <c r="M21" s="10">
        <f t="shared" si="6"/>
        <v>0.69513888888888886</v>
      </c>
      <c r="N21" s="12">
        <f t="shared" si="7"/>
        <v>9.4333333333333336</v>
      </c>
    </row>
    <row r="22" spans="1:14">
      <c r="A22" s="2">
        <f t="shared" si="1"/>
        <v>31</v>
      </c>
      <c r="B22" s="2">
        <v>21</v>
      </c>
      <c r="C22" s="13">
        <v>40564</v>
      </c>
      <c r="D22" s="14">
        <v>40929</v>
      </c>
      <c r="E22" s="2">
        <v>714</v>
      </c>
      <c r="F22" s="2">
        <v>1642</v>
      </c>
      <c r="G22" s="2">
        <v>0</v>
      </c>
      <c r="H22" s="2">
        <f t="shared" si="2"/>
        <v>7</v>
      </c>
      <c r="I22" s="2" t="str">
        <f t="shared" si="0"/>
        <v>14</v>
      </c>
      <c r="J22" s="10">
        <f t="shared" si="3"/>
        <v>0.30138888888888887</v>
      </c>
      <c r="K22" s="2">
        <f t="shared" si="4"/>
        <v>16</v>
      </c>
      <c r="L22">
        <f t="shared" si="5"/>
        <v>42</v>
      </c>
      <c r="M22" s="10">
        <f t="shared" si="6"/>
        <v>0.6958333333333333</v>
      </c>
      <c r="N22" s="12">
        <f t="shared" si="7"/>
        <v>9.4666666666666668</v>
      </c>
    </row>
    <row r="23" spans="1:14">
      <c r="A23" s="2">
        <f t="shared" si="1"/>
        <v>32</v>
      </c>
      <c r="B23" s="2">
        <v>22</v>
      </c>
      <c r="C23" s="13">
        <v>40565</v>
      </c>
      <c r="D23" s="14">
        <v>40930</v>
      </c>
      <c r="E23" s="2">
        <v>713</v>
      </c>
      <c r="F23" s="2">
        <v>1644</v>
      </c>
      <c r="G23" s="2">
        <v>0</v>
      </c>
      <c r="H23" s="2">
        <f t="shared" si="2"/>
        <v>7</v>
      </c>
      <c r="I23" s="2" t="str">
        <f t="shared" si="0"/>
        <v>13</v>
      </c>
      <c r="J23" s="10">
        <f t="shared" si="3"/>
        <v>0.30069444444444443</v>
      </c>
      <c r="K23" s="2">
        <f t="shared" si="4"/>
        <v>16</v>
      </c>
      <c r="L23">
        <f t="shared" si="5"/>
        <v>44</v>
      </c>
      <c r="M23" s="10">
        <f t="shared" si="6"/>
        <v>0.69722222222222219</v>
      </c>
      <c r="N23" s="12">
        <f t="shared" si="7"/>
        <v>9.5166666666666657</v>
      </c>
    </row>
    <row r="24" spans="1:14">
      <c r="A24" s="2">
        <f t="shared" si="1"/>
        <v>33</v>
      </c>
      <c r="B24" s="2">
        <v>23</v>
      </c>
      <c r="C24" s="13">
        <v>40566</v>
      </c>
      <c r="D24" s="14">
        <v>40931</v>
      </c>
      <c r="E24" s="2">
        <v>713</v>
      </c>
      <c r="F24" s="2">
        <v>1645</v>
      </c>
      <c r="G24" s="2">
        <v>0</v>
      </c>
      <c r="H24" s="2">
        <f t="shared" si="2"/>
        <v>7</v>
      </c>
      <c r="I24" s="2" t="str">
        <f t="shared" si="0"/>
        <v>13</v>
      </c>
      <c r="J24" s="10">
        <f t="shared" si="3"/>
        <v>0.30069444444444443</v>
      </c>
      <c r="K24" s="2">
        <f t="shared" si="4"/>
        <v>16</v>
      </c>
      <c r="L24">
        <f t="shared" si="5"/>
        <v>45</v>
      </c>
      <c r="M24" s="10">
        <f t="shared" si="6"/>
        <v>0.69791666666666663</v>
      </c>
      <c r="N24" s="12">
        <f t="shared" si="7"/>
        <v>9.5333333333333332</v>
      </c>
    </row>
    <row r="25" spans="1:14">
      <c r="A25" s="2">
        <f t="shared" si="1"/>
        <v>34</v>
      </c>
      <c r="B25" s="2">
        <v>24</v>
      </c>
      <c r="C25" s="13">
        <v>40567</v>
      </c>
      <c r="D25" s="14">
        <v>40932</v>
      </c>
      <c r="E25" s="2">
        <v>712</v>
      </c>
      <c r="F25" s="2">
        <v>1646</v>
      </c>
      <c r="G25" s="2">
        <v>0</v>
      </c>
      <c r="H25" s="2">
        <f t="shared" si="2"/>
        <v>7</v>
      </c>
      <c r="I25" s="2" t="str">
        <f t="shared" si="0"/>
        <v>12</v>
      </c>
      <c r="J25" s="10">
        <f t="shared" si="3"/>
        <v>0.3</v>
      </c>
      <c r="K25" s="2">
        <f t="shared" si="4"/>
        <v>16</v>
      </c>
      <c r="L25">
        <f t="shared" si="5"/>
        <v>46</v>
      </c>
      <c r="M25" s="10">
        <f t="shared" si="6"/>
        <v>0.69861111111111107</v>
      </c>
      <c r="N25" s="12">
        <f t="shared" si="7"/>
        <v>9.5666666666666664</v>
      </c>
    </row>
    <row r="26" spans="1:14">
      <c r="A26" s="2">
        <f t="shared" si="1"/>
        <v>35</v>
      </c>
      <c r="B26" s="2">
        <v>25</v>
      </c>
      <c r="C26" s="13">
        <v>40568</v>
      </c>
      <c r="D26" s="14">
        <v>40933</v>
      </c>
      <c r="E26" s="2">
        <v>711</v>
      </c>
      <c r="F26" s="2">
        <v>1648</v>
      </c>
      <c r="G26" s="2">
        <v>0</v>
      </c>
      <c r="H26" s="2">
        <f t="shared" si="2"/>
        <v>7</v>
      </c>
      <c r="I26" s="2" t="str">
        <f t="shared" si="0"/>
        <v>11</v>
      </c>
      <c r="J26" s="10">
        <f t="shared" si="3"/>
        <v>0.29930555555555555</v>
      </c>
      <c r="K26" s="2">
        <f t="shared" si="4"/>
        <v>16</v>
      </c>
      <c r="L26">
        <f t="shared" si="5"/>
        <v>48</v>
      </c>
      <c r="M26" s="10">
        <f t="shared" si="6"/>
        <v>0.7</v>
      </c>
      <c r="N26" s="12">
        <f t="shared" si="7"/>
        <v>9.6166666666666654</v>
      </c>
    </row>
    <row r="27" spans="1:14">
      <c r="A27" s="2">
        <f t="shared" si="1"/>
        <v>36</v>
      </c>
      <c r="B27" s="2">
        <v>26</v>
      </c>
      <c r="C27" s="13">
        <v>40569</v>
      </c>
      <c r="D27" s="14">
        <v>40934</v>
      </c>
      <c r="E27" s="2">
        <v>710</v>
      </c>
      <c r="F27" s="2">
        <v>1649</v>
      </c>
      <c r="G27" s="2">
        <v>0</v>
      </c>
      <c r="H27" s="2">
        <f t="shared" si="2"/>
        <v>7</v>
      </c>
      <c r="I27" s="2" t="str">
        <f t="shared" si="0"/>
        <v>10</v>
      </c>
      <c r="J27" s="10">
        <f t="shared" si="3"/>
        <v>0.2986111111111111</v>
      </c>
      <c r="K27" s="2">
        <f t="shared" si="4"/>
        <v>16</v>
      </c>
      <c r="L27">
        <f t="shared" si="5"/>
        <v>49</v>
      </c>
      <c r="M27" s="10">
        <f t="shared" si="6"/>
        <v>0.7006944444444444</v>
      </c>
      <c r="N27" s="12">
        <f t="shared" si="7"/>
        <v>9.6499999999999986</v>
      </c>
    </row>
    <row r="28" spans="1:14">
      <c r="A28" s="2">
        <f t="shared" si="1"/>
        <v>37</v>
      </c>
      <c r="B28" s="2">
        <v>27</v>
      </c>
      <c r="C28" s="13">
        <v>40570</v>
      </c>
      <c r="D28" s="14">
        <v>40935</v>
      </c>
      <c r="E28" s="2">
        <v>709</v>
      </c>
      <c r="F28" s="2">
        <v>1650</v>
      </c>
      <c r="G28" s="2">
        <v>0</v>
      </c>
      <c r="H28" s="2">
        <f t="shared" si="2"/>
        <v>7</v>
      </c>
      <c r="I28" s="2" t="str">
        <f t="shared" si="0"/>
        <v>09</v>
      </c>
      <c r="J28" s="10">
        <f t="shared" si="3"/>
        <v>0.29791666666666666</v>
      </c>
      <c r="K28" s="2">
        <f t="shared" si="4"/>
        <v>16</v>
      </c>
      <c r="L28">
        <f t="shared" si="5"/>
        <v>50</v>
      </c>
      <c r="M28" s="10">
        <f t="shared" si="6"/>
        <v>0.70138888888888884</v>
      </c>
      <c r="N28" s="12">
        <f t="shared" si="7"/>
        <v>9.6833333333333318</v>
      </c>
    </row>
    <row r="29" spans="1:14">
      <c r="A29" s="2">
        <f t="shared" si="1"/>
        <v>38</v>
      </c>
      <c r="B29" s="2">
        <v>28</v>
      </c>
      <c r="C29" s="13">
        <v>40571</v>
      </c>
      <c r="D29" s="14">
        <v>40936</v>
      </c>
      <c r="E29" s="2">
        <v>708</v>
      </c>
      <c r="F29" s="2">
        <v>1652</v>
      </c>
      <c r="G29" s="2">
        <v>0</v>
      </c>
      <c r="H29" s="2">
        <f t="shared" si="2"/>
        <v>7</v>
      </c>
      <c r="I29" s="2" t="str">
        <f t="shared" si="0"/>
        <v>08</v>
      </c>
      <c r="J29" s="10">
        <f t="shared" si="3"/>
        <v>0.29722222222222222</v>
      </c>
      <c r="K29" s="2">
        <f t="shared" si="4"/>
        <v>16</v>
      </c>
      <c r="L29">
        <f t="shared" si="5"/>
        <v>52</v>
      </c>
      <c r="M29" s="10">
        <f t="shared" si="6"/>
        <v>0.70277777777777772</v>
      </c>
      <c r="N29" s="12">
        <f t="shared" si="7"/>
        <v>9.7333333333333325</v>
      </c>
    </row>
    <row r="30" spans="1:14">
      <c r="A30" s="2">
        <f t="shared" si="1"/>
        <v>39</v>
      </c>
      <c r="B30" s="2">
        <v>29</v>
      </c>
      <c r="C30" s="13">
        <v>40572</v>
      </c>
      <c r="D30" s="14">
        <v>40937</v>
      </c>
      <c r="E30" s="2">
        <v>707</v>
      </c>
      <c r="F30" s="2">
        <v>1653</v>
      </c>
      <c r="G30" s="2">
        <v>0</v>
      </c>
      <c r="H30" s="2">
        <f t="shared" si="2"/>
        <v>7</v>
      </c>
      <c r="I30" s="2" t="str">
        <f t="shared" si="0"/>
        <v>07</v>
      </c>
      <c r="J30" s="10">
        <f t="shared" si="3"/>
        <v>0.29652777777777778</v>
      </c>
      <c r="K30" s="2">
        <f t="shared" si="4"/>
        <v>16</v>
      </c>
      <c r="L30">
        <f t="shared" si="5"/>
        <v>53</v>
      </c>
      <c r="M30" s="10">
        <f t="shared" si="6"/>
        <v>0.70347222222222228</v>
      </c>
      <c r="N30" s="12">
        <f t="shared" si="7"/>
        <v>9.7666666666666675</v>
      </c>
    </row>
    <row r="31" spans="1:14">
      <c r="A31" s="2">
        <f t="shared" si="1"/>
        <v>40</v>
      </c>
      <c r="B31" s="2">
        <v>30</v>
      </c>
      <c r="C31" s="13">
        <v>40573</v>
      </c>
      <c r="D31" s="14">
        <v>40938</v>
      </c>
      <c r="E31" s="2">
        <v>706</v>
      </c>
      <c r="F31" s="2">
        <v>1654</v>
      </c>
      <c r="G31" s="2">
        <v>0</v>
      </c>
      <c r="H31" s="2">
        <f t="shared" si="2"/>
        <v>7</v>
      </c>
      <c r="I31" s="2" t="str">
        <f t="shared" si="0"/>
        <v>06</v>
      </c>
      <c r="J31" s="10">
        <f t="shared" si="3"/>
        <v>0.29583333333333334</v>
      </c>
      <c r="K31" s="2">
        <f t="shared" si="4"/>
        <v>16</v>
      </c>
      <c r="L31">
        <f t="shared" si="5"/>
        <v>54</v>
      </c>
      <c r="M31" s="10">
        <f t="shared" si="6"/>
        <v>0.70416666666666672</v>
      </c>
      <c r="N31" s="12">
        <f t="shared" si="7"/>
        <v>9.8000000000000007</v>
      </c>
    </row>
    <row r="32" spans="1:14">
      <c r="A32" s="2">
        <f t="shared" si="1"/>
        <v>41</v>
      </c>
      <c r="B32" s="2">
        <v>31</v>
      </c>
      <c r="C32" s="13">
        <v>40574</v>
      </c>
      <c r="D32" s="14">
        <v>40939</v>
      </c>
      <c r="E32" s="2">
        <v>705</v>
      </c>
      <c r="F32" s="2">
        <v>1656</v>
      </c>
      <c r="G32" s="2">
        <v>0</v>
      </c>
      <c r="H32" s="2">
        <f t="shared" si="2"/>
        <v>7</v>
      </c>
      <c r="I32" s="2" t="str">
        <f t="shared" si="0"/>
        <v>05</v>
      </c>
      <c r="J32" s="10">
        <f t="shared" si="3"/>
        <v>0.2951388888888889</v>
      </c>
      <c r="K32" s="2">
        <f t="shared" si="4"/>
        <v>16</v>
      </c>
      <c r="L32">
        <f t="shared" si="5"/>
        <v>56</v>
      </c>
      <c r="M32" s="10">
        <f t="shared" si="6"/>
        <v>0.7055555555555556</v>
      </c>
      <c r="N32" s="12">
        <f t="shared" si="7"/>
        <v>9.8500000000000014</v>
      </c>
    </row>
    <row r="33" spans="1:14">
      <c r="A33" s="2">
        <f t="shared" si="1"/>
        <v>42</v>
      </c>
      <c r="B33" s="2">
        <v>32</v>
      </c>
      <c r="C33" s="13">
        <v>40575</v>
      </c>
      <c r="D33" s="14">
        <v>40940</v>
      </c>
      <c r="E33" s="2">
        <v>704</v>
      </c>
      <c r="F33" s="2">
        <v>1657</v>
      </c>
      <c r="G33" s="2">
        <v>0</v>
      </c>
      <c r="H33" s="2">
        <f t="shared" si="2"/>
        <v>7</v>
      </c>
      <c r="I33" s="2" t="str">
        <f t="shared" si="0"/>
        <v>04</v>
      </c>
      <c r="J33" s="10">
        <f t="shared" si="3"/>
        <v>0.29444444444444445</v>
      </c>
      <c r="K33" s="2">
        <f t="shared" si="4"/>
        <v>16</v>
      </c>
      <c r="L33">
        <f t="shared" si="5"/>
        <v>57</v>
      </c>
      <c r="M33" s="10">
        <f t="shared" si="6"/>
        <v>0.70625000000000004</v>
      </c>
      <c r="N33" s="12">
        <f t="shared" si="7"/>
        <v>9.8833333333333346</v>
      </c>
    </row>
    <row r="34" spans="1:14">
      <c r="A34" s="2">
        <f t="shared" si="1"/>
        <v>43</v>
      </c>
      <c r="B34" s="2">
        <v>33</v>
      </c>
      <c r="C34" s="13">
        <v>40576</v>
      </c>
      <c r="D34" s="14">
        <v>40941</v>
      </c>
      <c r="E34" s="2">
        <v>703</v>
      </c>
      <c r="F34" s="2">
        <v>1658</v>
      </c>
      <c r="G34" s="2">
        <v>0</v>
      </c>
      <c r="H34" s="2">
        <f t="shared" si="2"/>
        <v>7</v>
      </c>
      <c r="I34" s="2" t="str">
        <f t="shared" si="0"/>
        <v>03</v>
      </c>
      <c r="J34" s="10">
        <f t="shared" si="3"/>
        <v>0.29375000000000001</v>
      </c>
      <c r="K34" s="2">
        <f t="shared" si="4"/>
        <v>16</v>
      </c>
      <c r="L34">
        <f t="shared" si="5"/>
        <v>58</v>
      </c>
      <c r="M34" s="10">
        <f t="shared" si="6"/>
        <v>0.70694444444444449</v>
      </c>
      <c r="N34" s="12">
        <f t="shared" si="7"/>
        <v>9.9166666666666679</v>
      </c>
    </row>
    <row r="35" spans="1:14">
      <c r="A35" s="2">
        <f t="shared" si="1"/>
        <v>44</v>
      </c>
      <c r="B35" s="2">
        <v>34</v>
      </c>
      <c r="C35" s="13">
        <v>40577</v>
      </c>
      <c r="D35" s="14">
        <v>40942</v>
      </c>
      <c r="E35" s="2">
        <v>702</v>
      </c>
      <c r="F35" s="2">
        <v>1700</v>
      </c>
      <c r="G35" s="2">
        <v>0</v>
      </c>
      <c r="H35" s="2">
        <f t="shared" si="2"/>
        <v>7</v>
      </c>
      <c r="I35" s="2" t="str">
        <f t="shared" si="0"/>
        <v>02</v>
      </c>
      <c r="J35" s="10">
        <f t="shared" si="3"/>
        <v>0.29305555555555557</v>
      </c>
      <c r="K35" s="2">
        <f t="shared" si="4"/>
        <v>17</v>
      </c>
      <c r="L35">
        <f t="shared" si="5"/>
        <v>0</v>
      </c>
      <c r="M35" s="10">
        <f t="shared" si="6"/>
        <v>0.70833333333333337</v>
      </c>
      <c r="N35" s="12">
        <f t="shared" si="7"/>
        <v>9.9666666666666668</v>
      </c>
    </row>
    <row r="36" spans="1:14">
      <c r="A36" s="2">
        <f t="shared" si="1"/>
        <v>45</v>
      </c>
      <c r="B36" s="2">
        <v>35</v>
      </c>
      <c r="C36" s="13">
        <v>40578</v>
      </c>
      <c r="D36" s="14">
        <v>40943</v>
      </c>
      <c r="E36" s="2">
        <v>701</v>
      </c>
      <c r="F36" s="2">
        <v>1701</v>
      </c>
      <c r="G36" s="2">
        <v>0</v>
      </c>
      <c r="H36" s="2">
        <f t="shared" si="2"/>
        <v>7</v>
      </c>
      <c r="I36" s="2" t="str">
        <f t="shared" si="0"/>
        <v>01</v>
      </c>
      <c r="J36" s="10">
        <f t="shared" si="3"/>
        <v>0.29236111111111113</v>
      </c>
      <c r="K36" s="2">
        <f t="shared" si="4"/>
        <v>17</v>
      </c>
      <c r="L36">
        <f t="shared" si="5"/>
        <v>1</v>
      </c>
      <c r="M36" s="10">
        <f t="shared" si="6"/>
        <v>0.70902777777777781</v>
      </c>
      <c r="N36" s="12">
        <f t="shared" si="7"/>
        <v>10</v>
      </c>
    </row>
    <row r="37" spans="1:14">
      <c r="A37" s="2">
        <f t="shared" si="1"/>
        <v>46</v>
      </c>
      <c r="B37" s="2">
        <v>36</v>
      </c>
      <c r="C37" s="13">
        <v>40579</v>
      </c>
      <c r="D37" s="14">
        <v>40944</v>
      </c>
      <c r="E37" s="2">
        <v>700</v>
      </c>
      <c r="F37" s="2">
        <v>1702</v>
      </c>
      <c r="G37" s="2">
        <v>0</v>
      </c>
      <c r="H37" s="2">
        <f t="shared" si="2"/>
        <v>7</v>
      </c>
      <c r="I37" s="2" t="str">
        <f t="shared" si="0"/>
        <v>00</v>
      </c>
      <c r="J37" s="10">
        <f t="shared" si="3"/>
        <v>0.29166666666666669</v>
      </c>
      <c r="K37" s="2">
        <f t="shared" si="4"/>
        <v>17</v>
      </c>
      <c r="L37">
        <f t="shared" si="5"/>
        <v>2</v>
      </c>
      <c r="M37" s="10">
        <f t="shared" si="6"/>
        <v>0.70972222222222225</v>
      </c>
      <c r="N37" s="12">
        <f t="shared" si="7"/>
        <v>10.033333333333333</v>
      </c>
    </row>
    <row r="38" spans="1:14">
      <c r="A38" s="2">
        <f t="shared" si="1"/>
        <v>47</v>
      </c>
      <c r="B38" s="2">
        <v>37</v>
      </c>
      <c r="C38" s="13">
        <v>40580</v>
      </c>
      <c r="D38" s="14">
        <v>40945</v>
      </c>
      <c r="E38" s="2">
        <v>658</v>
      </c>
      <c r="F38" s="2">
        <v>1704</v>
      </c>
      <c r="G38" s="2">
        <v>0</v>
      </c>
      <c r="H38" s="2">
        <f t="shared" si="2"/>
        <v>6</v>
      </c>
      <c r="I38" s="2" t="str">
        <f t="shared" si="0"/>
        <v>58</v>
      </c>
      <c r="J38" s="10">
        <f t="shared" si="3"/>
        <v>0.2902777777777778</v>
      </c>
      <c r="K38" s="2">
        <f t="shared" si="4"/>
        <v>17</v>
      </c>
      <c r="L38">
        <f t="shared" si="5"/>
        <v>4</v>
      </c>
      <c r="M38" s="10">
        <f t="shared" si="6"/>
        <v>0.71111111111111114</v>
      </c>
      <c r="N38" s="12">
        <f t="shared" si="7"/>
        <v>10.1</v>
      </c>
    </row>
    <row r="39" spans="1:14">
      <c r="A39" s="2">
        <f t="shared" si="1"/>
        <v>48</v>
      </c>
      <c r="B39" s="2">
        <v>38</v>
      </c>
      <c r="C39" s="13">
        <v>40581</v>
      </c>
      <c r="D39" s="14">
        <v>40946</v>
      </c>
      <c r="E39" s="2">
        <v>657</v>
      </c>
      <c r="F39" s="2">
        <v>1705</v>
      </c>
      <c r="G39" s="2">
        <v>0</v>
      </c>
      <c r="H39" s="2">
        <f t="shared" si="2"/>
        <v>6</v>
      </c>
      <c r="I39" s="2" t="str">
        <f t="shared" si="0"/>
        <v>57</v>
      </c>
      <c r="J39" s="10">
        <f t="shared" si="3"/>
        <v>0.28958333333333336</v>
      </c>
      <c r="K39" s="2">
        <f t="shared" si="4"/>
        <v>17</v>
      </c>
      <c r="L39">
        <f t="shared" si="5"/>
        <v>5</v>
      </c>
      <c r="M39" s="10">
        <f t="shared" si="6"/>
        <v>0.71180555555555558</v>
      </c>
      <c r="N39" s="12">
        <f t="shared" si="7"/>
        <v>10.133333333333333</v>
      </c>
    </row>
    <row r="40" spans="1:14">
      <c r="A40" s="2">
        <f t="shared" si="1"/>
        <v>49</v>
      </c>
      <c r="B40" s="2">
        <v>39</v>
      </c>
      <c r="C40" s="13">
        <v>40582</v>
      </c>
      <c r="D40" s="14">
        <v>40947</v>
      </c>
      <c r="E40" s="2">
        <v>656</v>
      </c>
      <c r="F40" s="2">
        <v>1707</v>
      </c>
      <c r="G40" s="2">
        <v>0</v>
      </c>
      <c r="H40" s="2">
        <f t="shared" si="2"/>
        <v>6</v>
      </c>
      <c r="I40" s="2" t="str">
        <f t="shared" si="0"/>
        <v>56</v>
      </c>
      <c r="J40" s="10">
        <f t="shared" si="3"/>
        <v>0.28888888888888886</v>
      </c>
      <c r="K40" s="2">
        <f t="shared" si="4"/>
        <v>17</v>
      </c>
      <c r="L40">
        <f t="shared" si="5"/>
        <v>7</v>
      </c>
      <c r="M40" s="10">
        <f t="shared" si="6"/>
        <v>0.71319444444444446</v>
      </c>
      <c r="N40" s="12">
        <f t="shared" si="7"/>
        <v>10.183333333333334</v>
      </c>
    </row>
    <row r="41" spans="1:14">
      <c r="A41" s="2">
        <f t="shared" si="1"/>
        <v>50</v>
      </c>
      <c r="B41" s="2">
        <v>40</v>
      </c>
      <c r="C41" s="13">
        <v>40583</v>
      </c>
      <c r="D41" s="14">
        <v>40948</v>
      </c>
      <c r="E41" s="2">
        <v>655</v>
      </c>
      <c r="F41" s="2">
        <v>1708</v>
      </c>
      <c r="G41" s="2">
        <v>0</v>
      </c>
      <c r="H41" s="2">
        <f t="shared" si="2"/>
        <v>6</v>
      </c>
      <c r="I41" s="2" t="str">
        <f t="shared" si="0"/>
        <v>55</v>
      </c>
      <c r="J41" s="10">
        <f t="shared" si="3"/>
        <v>0.28819444444444442</v>
      </c>
      <c r="K41" s="2">
        <f t="shared" si="4"/>
        <v>17</v>
      </c>
      <c r="L41">
        <f t="shared" si="5"/>
        <v>8</v>
      </c>
      <c r="M41" s="10">
        <f t="shared" si="6"/>
        <v>0.71388888888888891</v>
      </c>
      <c r="N41" s="12">
        <f t="shared" si="7"/>
        <v>10.216666666666669</v>
      </c>
    </row>
    <row r="42" spans="1:14">
      <c r="A42" s="2">
        <f t="shared" si="1"/>
        <v>51</v>
      </c>
      <c r="B42" s="2">
        <v>41</v>
      </c>
      <c r="C42" s="13">
        <v>40584</v>
      </c>
      <c r="D42" s="14">
        <v>40949</v>
      </c>
      <c r="E42" s="2">
        <v>653</v>
      </c>
      <c r="F42" s="2">
        <v>1709</v>
      </c>
      <c r="G42" s="2">
        <v>0</v>
      </c>
      <c r="H42" s="2">
        <f t="shared" si="2"/>
        <v>6</v>
      </c>
      <c r="I42" s="2" t="str">
        <f t="shared" si="0"/>
        <v>53</v>
      </c>
      <c r="J42" s="10">
        <f t="shared" si="3"/>
        <v>0.28680555555555554</v>
      </c>
      <c r="K42" s="2">
        <f t="shared" si="4"/>
        <v>17</v>
      </c>
      <c r="L42">
        <f t="shared" si="5"/>
        <v>9</v>
      </c>
      <c r="M42" s="10">
        <f t="shared" si="6"/>
        <v>0.71458333333333335</v>
      </c>
      <c r="N42" s="12">
        <f t="shared" si="7"/>
        <v>10.266666666666667</v>
      </c>
    </row>
    <row r="43" spans="1:14">
      <c r="A43" s="2">
        <f t="shared" si="1"/>
        <v>52</v>
      </c>
      <c r="B43" s="2">
        <v>42</v>
      </c>
      <c r="C43" s="13">
        <v>40585</v>
      </c>
      <c r="D43" s="14">
        <v>40950</v>
      </c>
      <c r="E43" s="2">
        <v>652</v>
      </c>
      <c r="F43" s="2">
        <v>1711</v>
      </c>
      <c r="G43" s="2">
        <v>0</v>
      </c>
      <c r="H43" s="2">
        <f t="shared" si="2"/>
        <v>6</v>
      </c>
      <c r="I43" s="2" t="str">
        <f t="shared" si="0"/>
        <v>52</v>
      </c>
      <c r="J43" s="10">
        <f t="shared" si="3"/>
        <v>0.28611111111111109</v>
      </c>
      <c r="K43" s="2">
        <f t="shared" si="4"/>
        <v>17</v>
      </c>
      <c r="L43">
        <f t="shared" si="5"/>
        <v>11</v>
      </c>
      <c r="M43" s="10">
        <f t="shared" si="6"/>
        <v>0.71597222222222223</v>
      </c>
      <c r="N43" s="12">
        <f t="shared" si="7"/>
        <v>10.316666666666666</v>
      </c>
    </row>
    <row r="44" spans="1:14">
      <c r="A44" s="2">
        <f t="shared" si="1"/>
        <v>53</v>
      </c>
      <c r="B44" s="2">
        <v>43</v>
      </c>
      <c r="C44" s="13">
        <v>40586</v>
      </c>
      <c r="D44" s="14">
        <v>40951</v>
      </c>
      <c r="E44" s="2">
        <v>651</v>
      </c>
      <c r="F44" s="2">
        <v>1712</v>
      </c>
      <c r="G44" s="2">
        <v>0</v>
      </c>
      <c r="H44" s="2">
        <f t="shared" si="2"/>
        <v>6</v>
      </c>
      <c r="I44" s="2" t="str">
        <f t="shared" si="0"/>
        <v>51</v>
      </c>
      <c r="J44" s="10">
        <f t="shared" si="3"/>
        <v>0.28541666666666665</v>
      </c>
      <c r="K44" s="2">
        <f t="shared" si="4"/>
        <v>17</v>
      </c>
      <c r="L44">
        <f t="shared" si="5"/>
        <v>12</v>
      </c>
      <c r="M44" s="10">
        <f t="shared" si="6"/>
        <v>0.71666666666666667</v>
      </c>
      <c r="N44" s="12">
        <f t="shared" si="7"/>
        <v>10.350000000000001</v>
      </c>
    </row>
    <row r="45" spans="1:14">
      <c r="A45" s="2">
        <f t="shared" si="1"/>
        <v>54</v>
      </c>
      <c r="B45" s="2">
        <v>44</v>
      </c>
      <c r="C45" s="13">
        <v>40587</v>
      </c>
      <c r="D45" s="14">
        <v>40952</v>
      </c>
      <c r="E45" s="2">
        <v>649</v>
      </c>
      <c r="F45" s="2">
        <v>1713</v>
      </c>
      <c r="G45" s="2">
        <v>0</v>
      </c>
      <c r="H45" s="2">
        <f t="shared" si="2"/>
        <v>6</v>
      </c>
      <c r="I45" s="2" t="str">
        <f t="shared" si="0"/>
        <v>49</v>
      </c>
      <c r="J45" s="10">
        <f t="shared" si="3"/>
        <v>0.28402777777777777</v>
      </c>
      <c r="K45" s="2">
        <f t="shared" si="4"/>
        <v>17</v>
      </c>
      <c r="L45">
        <f t="shared" si="5"/>
        <v>13</v>
      </c>
      <c r="M45" s="10">
        <f t="shared" si="6"/>
        <v>0.71736111111111112</v>
      </c>
      <c r="N45" s="12">
        <f t="shared" si="7"/>
        <v>10.4</v>
      </c>
    </row>
    <row r="46" spans="1:14">
      <c r="A46" s="2">
        <f t="shared" si="1"/>
        <v>55</v>
      </c>
      <c r="B46" s="2">
        <v>45</v>
      </c>
      <c r="C46" s="13">
        <v>40588</v>
      </c>
      <c r="D46" s="14">
        <v>40953</v>
      </c>
      <c r="E46" s="2">
        <v>648</v>
      </c>
      <c r="F46" s="2">
        <v>1715</v>
      </c>
      <c r="G46" s="2">
        <v>0</v>
      </c>
      <c r="H46" s="2">
        <f t="shared" si="2"/>
        <v>6</v>
      </c>
      <c r="I46" s="2" t="str">
        <f t="shared" si="0"/>
        <v>48</v>
      </c>
      <c r="J46" s="10">
        <f t="shared" si="3"/>
        <v>0.28333333333333333</v>
      </c>
      <c r="K46" s="2">
        <f t="shared" si="4"/>
        <v>17</v>
      </c>
      <c r="L46">
        <f t="shared" si="5"/>
        <v>15</v>
      </c>
      <c r="M46" s="10">
        <f t="shared" si="6"/>
        <v>0.71875</v>
      </c>
      <c r="N46" s="12">
        <f t="shared" si="7"/>
        <v>10.45</v>
      </c>
    </row>
    <row r="47" spans="1:14">
      <c r="A47" s="2">
        <f t="shared" si="1"/>
        <v>56</v>
      </c>
      <c r="B47" s="2">
        <v>46</v>
      </c>
      <c r="C47" s="13">
        <v>40589</v>
      </c>
      <c r="D47" s="14">
        <v>40954</v>
      </c>
      <c r="E47" s="2">
        <v>646</v>
      </c>
      <c r="F47" s="2">
        <v>1716</v>
      </c>
      <c r="G47" s="2">
        <v>0</v>
      </c>
      <c r="H47" s="2">
        <f t="shared" si="2"/>
        <v>6</v>
      </c>
      <c r="I47" s="2" t="str">
        <f t="shared" si="0"/>
        <v>46</v>
      </c>
      <c r="J47" s="10">
        <f t="shared" si="3"/>
        <v>0.28194444444444444</v>
      </c>
      <c r="K47" s="2">
        <f t="shared" si="4"/>
        <v>17</v>
      </c>
      <c r="L47">
        <f t="shared" si="5"/>
        <v>16</v>
      </c>
      <c r="M47" s="10">
        <f t="shared" si="6"/>
        <v>0.71944444444444444</v>
      </c>
      <c r="N47" s="12">
        <f t="shared" si="7"/>
        <v>10.5</v>
      </c>
    </row>
    <row r="48" spans="1:14">
      <c r="A48" s="2">
        <f t="shared" si="1"/>
        <v>57</v>
      </c>
      <c r="B48" s="2">
        <v>47</v>
      </c>
      <c r="C48" s="13">
        <v>40590</v>
      </c>
      <c r="D48" s="14">
        <v>40955</v>
      </c>
      <c r="E48" s="2">
        <v>645</v>
      </c>
      <c r="F48" s="2">
        <v>1717</v>
      </c>
      <c r="G48" s="2">
        <v>0</v>
      </c>
      <c r="H48" s="2">
        <f t="shared" si="2"/>
        <v>6</v>
      </c>
      <c r="I48" s="2" t="str">
        <f t="shared" si="0"/>
        <v>45</v>
      </c>
      <c r="J48" s="10">
        <f t="shared" si="3"/>
        <v>0.28125</v>
      </c>
      <c r="K48" s="2">
        <f t="shared" si="4"/>
        <v>17</v>
      </c>
      <c r="L48">
        <f t="shared" si="5"/>
        <v>17</v>
      </c>
      <c r="M48" s="10">
        <f t="shared" si="6"/>
        <v>0.72013888888888888</v>
      </c>
      <c r="N48" s="12">
        <f t="shared" si="7"/>
        <v>10.533333333333333</v>
      </c>
    </row>
    <row r="49" spans="1:14">
      <c r="A49" s="2">
        <f t="shared" si="1"/>
        <v>58</v>
      </c>
      <c r="B49" s="2">
        <v>48</v>
      </c>
      <c r="C49" s="13">
        <v>40591</v>
      </c>
      <c r="D49" s="14">
        <v>40956</v>
      </c>
      <c r="E49" s="2">
        <v>643</v>
      </c>
      <c r="F49" s="2">
        <v>1719</v>
      </c>
      <c r="G49" s="2">
        <v>0</v>
      </c>
      <c r="H49" s="2">
        <f t="shared" si="2"/>
        <v>6</v>
      </c>
      <c r="I49" s="2" t="str">
        <f t="shared" si="0"/>
        <v>43</v>
      </c>
      <c r="J49" s="10">
        <f t="shared" si="3"/>
        <v>0.27986111111111112</v>
      </c>
      <c r="K49" s="2">
        <f t="shared" si="4"/>
        <v>17</v>
      </c>
      <c r="L49">
        <f t="shared" si="5"/>
        <v>19</v>
      </c>
      <c r="M49" s="10">
        <f t="shared" si="6"/>
        <v>0.72152777777777777</v>
      </c>
      <c r="N49" s="12">
        <f t="shared" si="7"/>
        <v>10.6</v>
      </c>
    </row>
    <row r="50" spans="1:14">
      <c r="A50" s="2">
        <f t="shared" si="1"/>
        <v>59</v>
      </c>
      <c r="B50" s="2">
        <v>49</v>
      </c>
      <c r="C50" s="13">
        <v>40592</v>
      </c>
      <c r="D50" s="14">
        <v>40957</v>
      </c>
      <c r="E50" s="2">
        <v>642</v>
      </c>
      <c r="F50" s="2">
        <v>1720</v>
      </c>
      <c r="G50" s="2">
        <v>0</v>
      </c>
      <c r="H50" s="2">
        <f t="shared" si="2"/>
        <v>6</v>
      </c>
      <c r="I50" s="2" t="str">
        <f t="shared" si="0"/>
        <v>42</v>
      </c>
      <c r="J50" s="10">
        <f t="shared" si="3"/>
        <v>0.27916666666666667</v>
      </c>
      <c r="K50" s="2">
        <f t="shared" si="4"/>
        <v>17</v>
      </c>
      <c r="L50">
        <f t="shared" si="5"/>
        <v>20</v>
      </c>
      <c r="M50" s="10">
        <f t="shared" si="6"/>
        <v>0.72222222222222221</v>
      </c>
      <c r="N50" s="12">
        <f t="shared" si="7"/>
        <v>10.633333333333333</v>
      </c>
    </row>
    <row r="51" spans="1:14">
      <c r="A51" s="2">
        <f t="shared" si="1"/>
        <v>60</v>
      </c>
      <c r="B51" s="2">
        <v>50</v>
      </c>
      <c r="C51" s="13">
        <v>40593</v>
      </c>
      <c r="D51" s="14">
        <v>40958</v>
      </c>
      <c r="E51" s="2">
        <v>640</v>
      </c>
      <c r="F51" s="2">
        <v>1722</v>
      </c>
      <c r="G51" s="2">
        <v>0</v>
      </c>
      <c r="H51" s="2">
        <f t="shared" si="2"/>
        <v>6</v>
      </c>
      <c r="I51" s="2" t="str">
        <f t="shared" si="0"/>
        <v>40</v>
      </c>
      <c r="J51" s="10">
        <f t="shared" si="3"/>
        <v>0.27777777777777779</v>
      </c>
      <c r="K51" s="2">
        <f t="shared" si="4"/>
        <v>17</v>
      </c>
      <c r="L51">
        <f t="shared" si="5"/>
        <v>22</v>
      </c>
      <c r="M51" s="10">
        <f t="shared" si="6"/>
        <v>0.72361111111111109</v>
      </c>
      <c r="N51" s="12">
        <f t="shared" si="7"/>
        <v>10.7</v>
      </c>
    </row>
    <row r="52" spans="1:14">
      <c r="A52" s="2">
        <f t="shared" si="1"/>
        <v>61</v>
      </c>
      <c r="B52" s="2">
        <v>51</v>
      </c>
      <c r="C52" s="13">
        <v>40594</v>
      </c>
      <c r="D52" s="14">
        <v>40959</v>
      </c>
      <c r="E52" s="2">
        <v>639</v>
      </c>
      <c r="F52" s="2">
        <v>1723</v>
      </c>
      <c r="G52" s="2">
        <v>0</v>
      </c>
      <c r="H52" s="2">
        <f t="shared" si="2"/>
        <v>6</v>
      </c>
      <c r="I52" s="2" t="str">
        <f t="shared" si="0"/>
        <v>39</v>
      </c>
      <c r="J52" s="10">
        <f t="shared" si="3"/>
        <v>0.27708333333333335</v>
      </c>
      <c r="K52" s="2">
        <f t="shared" si="4"/>
        <v>17</v>
      </c>
      <c r="L52">
        <f t="shared" si="5"/>
        <v>23</v>
      </c>
      <c r="M52" s="10">
        <f t="shared" si="6"/>
        <v>0.72430555555555554</v>
      </c>
      <c r="N52" s="12">
        <f t="shared" si="7"/>
        <v>10.733333333333333</v>
      </c>
    </row>
    <row r="53" spans="1:14">
      <c r="A53" s="2">
        <f t="shared" si="1"/>
        <v>62</v>
      </c>
      <c r="B53" s="2">
        <v>52</v>
      </c>
      <c r="C53" s="13">
        <v>40595</v>
      </c>
      <c r="D53" s="14">
        <v>40960</v>
      </c>
      <c r="E53" s="2">
        <v>637</v>
      </c>
      <c r="F53" s="2">
        <v>1724</v>
      </c>
      <c r="G53" s="2">
        <v>0</v>
      </c>
      <c r="H53" s="2">
        <f t="shared" si="2"/>
        <v>6</v>
      </c>
      <c r="I53" s="2" t="str">
        <f t="shared" si="0"/>
        <v>37</v>
      </c>
      <c r="J53" s="10">
        <f t="shared" si="3"/>
        <v>0.27569444444444446</v>
      </c>
      <c r="K53" s="2">
        <f t="shared" si="4"/>
        <v>17</v>
      </c>
      <c r="L53">
        <f t="shared" si="5"/>
        <v>24</v>
      </c>
      <c r="M53" s="10">
        <f t="shared" si="6"/>
        <v>0.72499999999999998</v>
      </c>
      <c r="N53" s="12">
        <f t="shared" si="7"/>
        <v>10.783333333333331</v>
      </c>
    </row>
    <row r="54" spans="1:14">
      <c r="A54" s="2">
        <f t="shared" si="1"/>
        <v>63</v>
      </c>
      <c r="B54" s="2">
        <v>53</v>
      </c>
      <c r="C54" s="13">
        <v>40596</v>
      </c>
      <c r="D54" s="14">
        <v>40961</v>
      </c>
      <c r="E54" s="2">
        <v>636</v>
      </c>
      <c r="F54" s="2">
        <v>1726</v>
      </c>
      <c r="G54" s="2">
        <v>0</v>
      </c>
      <c r="H54" s="2">
        <f t="shared" si="2"/>
        <v>6</v>
      </c>
      <c r="I54" s="2" t="str">
        <f t="shared" si="0"/>
        <v>36</v>
      </c>
      <c r="J54" s="10">
        <f t="shared" si="3"/>
        <v>0.27500000000000002</v>
      </c>
      <c r="K54" s="2">
        <f t="shared" si="4"/>
        <v>17</v>
      </c>
      <c r="L54">
        <f t="shared" si="5"/>
        <v>26</v>
      </c>
      <c r="M54" s="10">
        <f t="shared" si="6"/>
        <v>0.72638888888888886</v>
      </c>
      <c r="N54" s="12">
        <f t="shared" si="7"/>
        <v>10.833333333333332</v>
      </c>
    </row>
    <row r="55" spans="1:14">
      <c r="A55" s="2">
        <f t="shared" si="1"/>
        <v>64</v>
      </c>
      <c r="B55" s="2">
        <v>54</v>
      </c>
      <c r="C55" s="13">
        <v>40597</v>
      </c>
      <c r="D55" s="14">
        <v>40962</v>
      </c>
      <c r="E55" s="2">
        <v>634</v>
      </c>
      <c r="F55" s="2">
        <v>1727</v>
      </c>
      <c r="G55" s="2">
        <v>0</v>
      </c>
      <c r="H55" s="2">
        <f t="shared" si="2"/>
        <v>6</v>
      </c>
      <c r="I55" s="2" t="str">
        <f t="shared" si="0"/>
        <v>34</v>
      </c>
      <c r="J55" s="10">
        <f t="shared" si="3"/>
        <v>0.27361111111111114</v>
      </c>
      <c r="K55" s="2">
        <f t="shared" si="4"/>
        <v>17</v>
      </c>
      <c r="L55">
        <f t="shared" si="5"/>
        <v>27</v>
      </c>
      <c r="M55" s="10">
        <f t="shared" si="6"/>
        <v>0.7270833333333333</v>
      </c>
      <c r="N55" s="12">
        <f t="shared" si="7"/>
        <v>10.883333333333333</v>
      </c>
    </row>
    <row r="56" spans="1:14">
      <c r="A56" s="2">
        <f t="shared" si="1"/>
        <v>65</v>
      </c>
      <c r="B56" s="2">
        <v>55</v>
      </c>
      <c r="C56" s="13">
        <v>40598</v>
      </c>
      <c r="D56" s="14">
        <v>40963</v>
      </c>
      <c r="E56" s="2">
        <v>633</v>
      </c>
      <c r="F56" s="2">
        <v>1728</v>
      </c>
      <c r="G56" s="2">
        <v>0</v>
      </c>
      <c r="H56" s="2">
        <f t="shared" si="2"/>
        <v>6</v>
      </c>
      <c r="I56" s="2" t="str">
        <f t="shared" si="0"/>
        <v>33</v>
      </c>
      <c r="J56" s="10">
        <f t="shared" si="3"/>
        <v>0.27291666666666664</v>
      </c>
      <c r="K56" s="2">
        <f t="shared" si="4"/>
        <v>17</v>
      </c>
      <c r="L56">
        <f t="shared" si="5"/>
        <v>28</v>
      </c>
      <c r="M56" s="10">
        <f t="shared" si="6"/>
        <v>0.72777777777777775</v>
      </c>
      <c r="N56" s="12">
        <f t="shared" si="7"/>
        <v>10.916666666666666</v>
      </c>
    </row>
    <row r="57" spans="1:14">
      <c r="A57" s="2">
        <f t="shared" si="1"/>
        <v>66</v>
      </c>
      <c r="B57" s="2">
        <v>56</v>
      </c>
      <c r="C57" s="13">
        <v>40599</v>
      </c>
      <c r="D57" s="14">
        <v>40964</v>
      </c>
      <c r="E57" s="2">
        <v>631</v>
      </c>
      <c r="F57" s="2">
        <v>1729</v>
      </c>
      <c r="G57" s="2">
        <v>0</v>
      </c>
      <c r="H57" s="2">
        <f t="shared" si="2"/>
        <v>6</v>
      </c>
      <c r="I57" s="2" t="str">
        <f t="shared" si="0"/>
        <v>31</v>
      </c>
      <c r="J57" s="10">
        <f t="shared" si="3"/>
        <v>0.27152777777777776</v>
      </c>
      <c r="K57" s="2">
        <f t="shared" si="4"/>
        <v>17</v>
      </c>
      <c r="L57">
        <f t="shared" si="5"/>
        <v>29</v>
      </c>
      <c r="M57" s="10">
        <f t="shared" si="6"/>
        <v>0.72847222222222219</v>
      </c>
      <c r="N57" s="12">
        <f t="shared" si="7"/>
        <v>10.966666666666667</v>
      </c>
    </row>
    <row r="58" spans="1:14">
      <c r="A58" s="2">
        <f t="shared" si="1"/>
        <v>67</v>
      </c>
      <c r="B58" s="2">
        <v>57</v>
      </c>
      <c r="C58" s="13">
        <v>40600</v>
      </c>
      <c r="D58" s="14">
        <v>40965</v>
      </c>
      <c r="E58" s="2">
        <v>629</v>
      </c>
      <c r="F58" s="2">
        <v>1731</v>
      </c>
      <c r="G58" s="2">
        <v>0</v>
      </c>
      <c r="H58" s="2">
        <f t="shared" si="2"/>
        <v>6</v>
      </c>
      <c r="I58" s="2" t="str">
        <f t="shared" si="0"/>
        <v>29</v>
      </c>
      <c r="J58" s="10">
        <f t="shared" si="3"/>
        <v>0.27013888888888887</v>
      </c>
      <c r="K58" s="2">
        <f t="shared" si="4"/>
        <v>17</v>
      </c>
      <c r="L58">
        <f t="shared" si="5"/>
        <v>31</v>
      </c>
      <c r="M58" s="10">
        <f t="shared" si="6"/>
        <v>0.72986111111111107</v>
      </c>
      <c r="N58" s="12">
        <f t="shared" si="7"/>
        <v>11.033333333333333</v>
      </c>
    </row>
    <row r="59" spans="1:14">
      <c r="A59" s="2">
        <f t="shared" si="1"/>
        <v>68</v>
      </c>
      <c r="B59" s="2">
        <v>58</v>
      </c>
      <c r="C59" s="13">
        <v>40601</v>
      </c>
      <c r="D59" s="14">
        <v>40966</v>
      </c>
      <c r="E59" s="2">
        <v>628</v>
      </c>
      <c r="F59" s="2">
        <v>1732</v>
      </c>
      <c r="G59" s="2">
        <v>0</v>
      </c>
      <c r="H59" s="2">
        <f t="shared" si="2"/>
        <v>6</v>
      </c>
      <c r="I59" s="2" t="str">
        <f t="shared" si="0"/>
        <v>28</v>
      </c>
      <c r="J59" s="10">
        <f t="shared" si="3"/>
        <v>0.26944444444444443</v>
      </c>
      <c r="K59" s="2">
        <f t="shared" si="4"/>
        <v>17</v>
      </c>
      <c r="L59">
        <f t="shared" si="5"/>
        <v>32</v>
      </c>
      <c r="M59" s="10">
        <f t="shared" si="6"/>
        <v>0.73055555555555551</v>
      </c>
      <c r="N59" s="12">
        <f t="shared" si="7"/>
        <v>11.066666666666666</v>
      </c>
    </row>
    <row r="60" spans="1:14">
      <c r="A60" s="2">
        <f t="shared" si="1"/>
        <v>69</v>
      </c>
      <c r="B60" s="2">
        <v>59</v>
      </c>
      <c r="C60" s="13">
        <v>40602</v>
      </c>
      <c r="D60" s="14">
        <v>40967</v>
      </c>
      <c r="E60" s="2">
        <v>626</v>
      </c>
      <c r="F60" s="2">
        <v>1733</v>
      </c>
      <c r="G60" s="2">
        <v>0</v>
      </c>
      <c r="H60" s="2">
        <f t="shared" si="2"/>
        <v>6</v>
      </c>
      <c r="I60" s="2" t="str">
        <f t="shared" si="0"/>
        <v>26</v>
      </c>
      <c r="J60" s="10">
        <f t="shared" si="3"/>
        <v>0.26805555555555555</v>
      </c>
      <c r="K60" s="2">
        <f t="shared" si="4"/>
        <v>17</v>
      </c>
      <c r="L60">
        <f t="shared" si="5"/>
        <v>33</v>
      </c>
      <c r="M60" s="10">
        <f t="shared" si="6"/>
        <v>0.73124999999999996</v>
      </c>
      <c r="N60" s="12">
        <f t="shared" si="7"/>
        <v>11.116666666666665</v>
      </c>
    </row>
    <row r="61" spans="1:14">
      <c r="A61" s="2">
        <f t="shared" si="1"/>
        <v>70</v>
      </c>
      <c r="B61" s="2">
        <v>60</v>
      </c>
      <c r="C61" s="13">
        <v>40603</v>
      </c>
      <c r="D61" s="14">
        <v>40968</v>
      </c>
      <c r="E61" s="2">
        <v>624</v>
      </c>
      <c r="F61" s="2">
        <v>1735</v>
      </c>
      <c r="G61" s="2">
        <v>0</v>
      </c>
      <c r="H61" s="2">
        <f t="shared" si="2"/>
        <v>6</v>
      </c>
      <c r="I61" s="2" t="str">
        <f t="shared" si="0"/>
        <v>24</v>
      </c>
      <c r="J61" s="10">
        <f t="shared" si="3"/>
        <v>0.26666666666666666</v>
      </c>
      <c r="K61" s="2">
        <f t="shared" si="4"/>
        <v>17</v>
      </c>
      <c r="L61">
        <f t="shared" si="5"/>
        <v>35</v>
      </c>
      <c r="M61" s="10">
        <f t="shared" si="6"/>
        <v>0.73263888888888884</v>
      </c>
      <c r="N61" s="12">
        <f t="shared" si="7"/>
        <v>11.183333333333332</v>
      </c>
    </row>
    <row r="62" spans="1:14">
      <c r="A62" s="2">
        <f t="shared" si="1"/>
        <v>71</v>
      </c>
      <c r="B62" s="2">
        <v>61</v>
      </c>
      <c r="C62" s="13">
        <v>40604</v>
      </c>
      <c r="D62" s="14">
        <v>40969</v>
      </c>
      <c r="E62" s="2">
        <v>623</v>
      </c>
      <c r="F62" s="2">
        <v>1736</v>
      </c>
      <c r="G62" s="2">
        <v>0</v>
      </c>
      <c r="H62" s="2">
        <f t="shared" si="2"/>
        <v>6</v>
      </c>
      <c r="I62" s="2" t="str">
        <f t="shared" si="0"/>
        <v>23</v>
      </c>
      <c r="J62" s="10">
        <f t="shared" si="3"/>
        <v>0.26597222222222222</v>
      </c>
      <c r="K62" s="2">
        <f t="shared" si="4"/>
        <v>17</v>
      </c>
      <c r="L62">
        <f t="shared" si="5"/>
        <v>36</v>
      </c>
      <c r="M62" s="10">
        <f t="shared" si="6"/>
        <v>0.73333333333333328</v>
      </c>
      <c r="N62" s="12">
        <f t="shared" si="7"/>
        <v>11.216666666666665</v>
      </c>
    </row>
    <row r="63" spans="1:14">
      <c r="A63" s="2">
        <f t="shared" si="1"/>
        <v>72</v>
      </c>
      <c r="B63" s="2">
        <v>62</v>
      </c>
      <c r="C63" s="13">
        <v>40605</v>
      </c>
      <c r="D63" s="14">
        <v>40970</v>
      </c>
      <c r="E63" s="2">
        <v>621</v>
      </c>
      <c r="F63" s="2">
        <v>1737</v>
      </c>
      <c r="G63" s="2">
        <v>0</v>
      </c>
      <c r="H63" s="2">
        <f t="shared" si="2"/>
        <v>6</v>
      </c>
      <c r="I63" s="2" t="str">
        <f t="shared" si="0"/>
        <v>21</v>
      </c>
      <c r="J63" s="10">
        <f t="shared" si="3"/>
        <v>0.26458333333333334</v>
      </c>
      <c r="K63" s="2">
        <f t="shared" si="4"/>
        <v>17</v>
      </c>
      <c r="L63">
        <f t="shared" si="5"/>
        <v>37</v>
      </c>
      <c r="M63" s="10">
        <f t="shared" si="6"/>
        <v>0.73402777777777772</v>
      </c>
      <c r="N63" s="12">
        <f t="shared" si="7"/>
        <v>11.266666666666666</v>
      </c>
    </row>
    <row r="64" spans="1:14">
      <c r="A64" s="2">
        <f t="shared" si="1"/>
        <v>73</v>
      </c>
      <c r="B64" s="2">
        <v>63</v>
      </c>
      <c r="C64" s="13">
        <v>40606</v>
      </c>
      <c r="D64" s="14">
        <v>40971</v>
      </c>
      <c r="E64" s="2">
        <v>619</v>
      </c>
      <c r="F64" s="2">
        <v>1739</v>
      </c>
      <c r="G64" s="2">
        <v>0</v>
      </c>
      <c r="H64" s="2">
        <f t="shared" si="2"/>
        <v>6</v>
      </c>
      <c r="I64" s="2" t="str">
        <f t="shared" si="0"/>
        <v>19</v>
      </c>
      <c r="J64" s="10">
        <f t="shared" si="3"/>
        <v>0.26319444444444445</v>
      </c>
      <c r="K64" s="2">
        <f t="shared" si="4"/>
        <v>17</v>
      </c>
      <c r="L64">
        <f t="shared" si="5"/>
        <v>39</v>
      </c>
      <c r="M64" s="10">
        <f t="shared" si="6"/>
        <v>0.73541666666666672</v>
      </c>
      <c r="N64" s="12">
        <f t="shared" si="7"/>
        <v>11.333333333333334</v>
      </c>
    </row>
    <row r="65" spans="1:14">
      <c r="A65" s="2">
        <f t="shared" si="1"/>
        <v>74</v>
      </c>
      <c r="B65" s="2">
        <v>64</v>
      </c>
      <c r="C65" s="13">
        <v>40607</v>
      </c>
      <c r="D65" s="14">
        <v>40972</v>
      </c>
      <c r="E65" s="2">
        <v>618</v>
      </c>
      <c r="F65" s="2">
        <v>1740</v>
      </c>
      <c r="G65" s="2">
        <v>0</v>
      </c>
      <c r="H65" s="2">
        <f t="shared" si="2"/>
        <v>6</v>
      </c>
      <c r="I65" s="2" t="str">
        <f t="shared" si="0"/>
        <v>18</v>
      </c>
      <c r="J65" s="10">
        <f t="shared" si="3"/>
        <v>0.26250000000000001</v>
      </c>
      <c r="K65" s="2">
        <f t="shared" si="4"/>
        <v>17</v>
      </c>
      <c r="L65">
        <f t="shared" si="5"/>
        <v>40</v>
      </c>
      <c r="M65" s="10">
        <f t="shared" si="6"/>
        <v>0.73611111111111116</v>
      </c>
      <c r="N65" s="12">
        <f t="shared" si="7"/>
        <v>11.366666666666667</v>
      </c>
    </row>
    <row r="66" spans="1:14">
      <c r="A66" s="2">
        <f t="shared" si="1"/>
        <v>75</v>
      </c>
      <c r="B66" s="2">
        <v>65</v>
      </c>
      <c r="C66" s="13">
        <v>40608</v>
      </c>
      <c r="D66" s="14">
        <v>40973</v>
      </c>
      <c r="E66" s="2">
        <v>616</v>
      </c>
      <c r="F66" s="2">
        <v>1741</v>
      </c>
      <c r="G66" s="2">
        <v>0</v>
      </c>
      <c r="H66" s="2">
        <f t="shared" si="2"/>
        <v>6</v>
      </c>
      <c r="I66" s="2" t="str">
        <f t="shared" ref="I66:I129" si="8">RIGHT(E66,2)</f>
        <v>16</v>
      </c>
      <c r="J66" s="10">
        <f t="shared" si="3"/>
        <v>0.26111111111111113</v>
      </c>
      <c r="K66" s="2">
        <f t="shared" si="4"/>
        <v>17</v>
      </c>
      <c r="L66">
        <f t="shared" si="5"/>
        <v>41</v>
      </c>
      <c r="M66" s="10">
        <f t="shared" si="6"/>
        <v>0.7368055555555556</v>
      </c>
      <c r="N66" s="12">
        <f t="shared" si="7"/>
        <v>11.416666666666668</v>
      </c>
    </row>
    <row r="67" spans="1:14">
      <c r="A67" s="2">
        <f t="shared" ref="A67:A130" si="9">B67+10</f>
        <v>76</v>
      </c>
      <c r="B67" s="2">
        <v>66</v>
      </c>
      <c r="C67" s="13">
        <v>40609</v>
      </c>
      <c r="D67" s="14">
        <v>40974</v>
      </c>
      <c r="E67" s="2">
        <v>614</v>
      </c>
      <c r="F67" s="2">
        <v>1742</v>
      </c>
      <c r="G67" s="2">
        <v>0</v>
      </c>
      <c r="H67" s="2">
        <f t="shared" ref="H67:H130" si="10">VALUE(LEFT(E67,1))</f>
        <v>6</v>
      </c>
      <c r="I67" s="2" t="str">
        <f t="shared" si="8"/>
        <v>14</v>
      </c>
      <c r="J67" s="10">
        <f t="shared" ref="J67:J130" si="11">TIME(H67,I67,0)</f>
        <v>0.25972222222222224</v>
      </c>
      <c r="K67" s="2">
        <f t="shared" ref="K67:K130" si="12">VALUE(LEFT(F67,2))</f>
        <v>17</v>
      </c>
      <c r="L67">
        <f t="shared" ref="L67:L130" si="13">VALUE(RIGHT(F67,2))</f>
        <v>42</v>
      </c>
      <c r="M67" s="10">
        <f t="shared" ref="M67:M130" si="14">TIME(K67,L67,0)</f>
        <v>0.73750000000000004</v>
      </c>
      <c r="N67" s="12">
        <f t="shared" ref="N67:N130" si="15">(M67-J67)*24</f>
        <v>11.466666666666667</v>
      </c>
    </row>
    <row r="68" spans="1:14">
      <c r="A68" s="2">
        <f t="shared" si="9"/>
        <v>77</v>
      </c>
      <c r="B68" s="2">
        <v>67</v>
      </c>
      <c r="C68" s="13">
        <v>40610</v>
      </c>
      <c r="D68" s="14">
        <v>40975</v>
      </c>
      <c r="E68" s="2">
        <v>612</v>
      </c>
      <c r="F68" s="2">
        <v>1744</v>
      </c>
      <c r="G68" s="2">
        <v>0</v>
      </c>
      <c r="H68" s="2">
        <f t="shared" si="10"/>
        <v>6</v>
      </c>
      <c r="I68" s="2" t="str">
        <f t="shared" si="8"/>
        <v>12</v>
      </c>
      <c r="J68" s="10">
        <f t="shared" si="11"/>
        <v>0.25833333333333336</v>
      </c>
      <c r="K68" s="2">
        <f t="shared" si="12"/>
        <v>17</v>
      </c>
      <c r="L68">
        <f t="shared" si="13"/>
        <v>44</v>
      </c>
      <c r="M68" s="10">
        <f t="shared" si="14"/>
        <v>0.73888888888888893</v>
      </c>
      <c r="N68" s="12">
        <f t="shared" si="15"/>
        <v>11.533333333333333</v>
      </c>
    </row>
    <row r="69" spans="1:14">
      <c r="A69" s="2">
        <f t="shared" si="9"/>
        <v>78</v>
      </c>
      <c r="B69" s="2">
        <v>68</v>
      </c>
      <c r="C69" s="13">
        <v>40611</v>
      </c>
      <c r="D69" s="14">
        <v>40976</v>
      </c>
      <c r="E69" s="2">
        <v>611</v>
      </c>
      <c r="F69" s="2">
        <v>1745</v>
      </c>
      <c r="G69" s="2">
        <v>0</v>
      </c>
      <c r="H69" s="2">
        <f t="shared" si="10"/>
        <v>6</v>
      </c>
      <c r="I69" s="2" t="str">
        <f t="shared" si="8"/>
        <v>11</v>
      </c>
      <c r="J69" s="10">
        <f t="shared" si="11"/>
        <v>0.25763888888888886</v>
      </c>
      <c r="K69" s="2">
        <f t="shared" si="12"/>
        <v>17</v>
      </c>
      <c r="L69">
        <f t="shared" si="13"/>
        <v>45</v>
      </c>
      <c r="M69" s="10">
        <f t="shared" si="14"/>
        <v>0.73958333333333337</v>
      </c>
      <c r="N69" s="12">
        <f t="shared" si="15"/>
        <v>11.566666666666668</v>
      </c>
    </row>
    <row r="70" spans="1:14">
      <c r="A70" s="2">
        <f t="shared" si="9"/>
        <v>79</v>
      </c>
      <c r="B70" s="2">
        <v>69</v>
      </c>
      <c r="C70" s="13">
        <v>40612</v>
      </c>
      <c r="D70" s="14">
        <v>40977</v>
      </c>
      <c r="E70" s="2">
        <v>609</v>
      </c>
      <c r="F70" s="2">
        <v>1746</v>
      </c>
      <c r="G70" s="2">
        <v>0</v>
      </c>
      <c r="H70" s="2">
        <f t="shared" si="10"/>
        <v>6</v>
      </c>
      <c r="I70" s="2" t="str">
        <f t="shared" si="8"/>
        <v>09</v>
      </c>
      <c r="J70" s="10">
        <f t="shared" si="11"/>
        <v>0.25624999999999998</v>
      </c>
      <c r="K70" s="2">
        <f t="shared" si="12"/>
        <v>17</v>
      </c>
      <c r="L70">
        <f t="shared" si="13"/>
        <v>46</v>
      </c>
      <c r="M70" s="10">
        <f t="shared" si="14"/>
        <v>0.74027777777777781</v>
      </c>
      <c r="N70" s="12">
        <f t="shared" si="15"/>
        <v>11.616666666666667</v>
      </c>
    </row>
    <row r="71" spans="1:14">
      <c r="A71" s="2">
        <f t="shared" si="9"/>
        <v>80</v>
      </c>
      <c r="B71" s="2">
        <v>70</v>
      </c>
      <c r="C71" s="13">
        <v>40613</v>
      </c>
      <c r="D71" s="14">
        <v>40978</v>
      </c>
      <c r="E71" s="2">
        <v>607</v>
      </c>
      <c r="F71" s="2">
        <v>1747</v>
      </c>
      <c r="G71" s="2">
        <v>0</v>
      </c>
      <c r="H71" s="2">
        <f t="shared" si="10"/>
        <v>6</v>
      </c>
      <c r="I71" s="2" t="str">
        <f t="shared" si="8"/>
        <v>07</v>
      </c>
      <c r="J71" s="10">
        <f t="shared" si="11"/>
        <v>0.25486111111111109</v>
      </c>
      <c r="K71" s="2">
        <f t="shared" si="12"/>
        <v>17</v>
      </c>
      <c r="L71">
        <f t="shared" si="13"/>
        <v>47</v>
      </c>
      <c r="M71" s="10">
        <f t="shared" si="14"/>
        <v>0.74097222222222225</v>
      </c>
      <c r="N71" s="12">
        <f t="shared" si="15"/>
        <v>11.666666666666668</v>
      </c>
    </row>
    <row r="72" spans="1:14">
      <c r="A72" s="2">
        <f t="shared" si="9"/>
        <v>81</v>
      </c>
      <c r="B72" s="2">
        <v>71</v>
      </c>
      <c r="C72" s="13">
        <v>40614</v>
      </c>
      <c r="D72" s="14">
        <v>40979</v>
      </c>
      <c r="E72" s="2">
        <v>605</v>
      </c>
      <c r="F72" s="2">
        <v>1749</v>
      </c>
      <c r="G72" s="2">
        <v>0</v>
      </c>
      <c r="H72" s="2">
        <f t="shared" si="10"/>
        <v>6</v>
      </c>
      <c r="I72" s="2" t="str">
        <f t="shared" si="8"/>
        <v>05</v>
      </c>
      <c r="J72" s="10">
        <f t="shared" si="11"/>
        <v>0.25347222222222221</v>
      </c>
      <c r="K72" s="2">
        <f t="shared" si="12"/>
        <v>17</v>
      </c>
      <c r="L72">
        <f t="shared" si="13"/>
        <v>49</v>
      </c>
      <c r="M72" s="10">
        <f t="shared" si="14"/>
        <v>0.74236111111111114</v>
      </c>
      <c r="N72" s="12">
        <f t="shared" si="15"/>
        <v>11.733333333333334</v>
      </c>
    </row>
    <row r="73" spans="1:14">
      <c r="A73" s="2">
        <f t="shared" si="9"/>
        <v>82</v>
      </c>
      <c r="B73" s="2">
        <v>72</v>
      </c>
      <c r="C73" s="13">
        <v>40615</v>
      </c>
      <c r="D73" s="14">
        <v>40980</v>
      </c>
      <c r="E73" s="2">
        <v>604</v>
      </c>
      <c r="F73" s="2">
        <v>1750</v>
      </c>
      <c r="G73" s="2">
        <v>0</v>
      </c>
      <c r="H73" s="2">
        <f t="shared" si="10"/>
        <v>6</v>
      </c>
      <c r="I73" s="2" t="str">
        <f t="shared" si="8"/>
        <v>04</v>
      </c>
      <c r="J73" s="10">
        <f t="shared" si="11"/>
        <v>0.25277777777777777</v>
      </c>
      <c r="K73" s="2">
        <f t="shared" si="12"/>
        <v>17</v>
      </c>
      <c r="L73">
        <f t="shared" si="13"/>
        <v>50</v>
      </c>
      <c r="M73" s="10">
        <f t="shared" si="14"/>
        <v>0.74305555555555558</v>
      </c>
      <c r="N73" s="12">
        <f t="shared" si="15"/>
        <v>11.766666666666667</v>
      </c>
    </row>
    <row r="74" spans="1:14">
      <c r="A74" s="2">
        <f t="shared" si="9"/>
        <v>83</v>
      </c>
      <c r="B74" s="2">
        <v>73</v>
      </c>
      <c r="C74" s="13">
        <v>40616</v>
      </c>
      <c r="D74" s="14">
        <v>40981</v>
      </c>
      <c r="E74" s="2">
        <v>602</v>
      </c>
      <c r="F74" s="2">
        <v>1751</v>
      </c>
      <c r="G74" s="2">
        <v>1</v>
      </c>
      <c r="H74" s="2">
        <f t="shared" si="10"/>
        <v>6</v>
      </c>
      <c r="I74" s="2" t="str">
        <f t="shared" si="8"/>
        <v>02</v>
      </c>
      <c r="J74" s="10">
        <f t="shared" si="11"/>
        <v>0.25138888888888888</v>
      </c>
      <c r="K74" s="2">
        <f t="shared" si="12"/>
        <v>17</v>
      </c>
      <c r="L74">
        <f t="shared" si="13"/>
        <v>51</v>
      </c>
      <c r="M74" s="10">
        <f t="shared" si="14"/>
        <v>0.74375000000000002</v>
      </c>
      <c r="N74" s="12">
        <f t="shared" si="15"/>
        <v>11.816666666666666</v>
      </c>
    </row>
    <row r="75" spans="1:14">
      <c r="A75" s="2">
        <f t="shared" si="9"/>
        <v>84</v>
      </c>
      <c r="B75" s="2">
        <v>74</v>
      </c>
      <c r="C75" s="13">
        <v>40617</v>
      </c>
      <c r="D75" s="14">
        <v>40982</v>
      </c>
      <c r="E75" s="2">
        <v>600</v>
      </c>
      <c r="F75" s="2">
        <v>1752</v>
      </c>
      <c r="G75" s="2">
        <v>1</v>
      </c>
      <c r="H75" s="2">
        <f t="shared" si="10"/>
        <v>6</v>
      </c>
      <c r="I75" s="2" t="str">
        <f t="shared" si="8"/>
        <v>00</v>
      </c>
      <c r="J75" s="10">
        <f t="shared" si="11"/>
        <v>0.25</v>
      </c>
      <c r="K75" s="2">
        <f t="shared" si="12"/>
        <v>17</v>
      </c>
      <c r="L75">
        <f t="shared" si="13"/>
        <v>52</v>
      </c>
      <c r="M75" s="10">
        <f t="shared" si="14"/>
        <v>0.74444444444444446</v>
      </c>
      <c r="N75" s="12">
        <f t="shared" si="15"/>
        <v>11.866666666666667</v>
      </c>
    </row>
    <row r="76" spans="1:14">
      <c r="A76" s="2">
        <f t="shared" si="9"/>
        <v>85</v>
      </c>
      <c r="B76" s="2">
        <v>75</v>
      </c>
      <c r="C76" s="13">
        <v>40618</v>
      </c>
      <c r="D76" s="14">
        <v>40983</v>
      </c>
      <c r="E76" s="2">
        <v>558</v>
      </c>
      <c r="F76" s="2">
        <v>1754</v>
      </c>
      <c r="G76" s="2">
        <v>1</v>
      </c>
      <c r="H76" s="2">
        <f t="shared" si="10"/>
        <v>5</v>
      </c>
      <c r="I76" s="2" t="str">
        <f t="shared" si="8"/>
        <v>58</v>
      </c>
      <c r="J76" s="10">
        <f t="shared" si="11"/>
        <v>0.24861111111111112</v>
      </c>
      <c r="K76" s="2">
        <f t="shared" si="12"/>
        <v>17</v>
      </c>
      <c r="L76">
        <f t="shared" si="13"/>
        <v>54</v>
      </c>
      <c r="M76" s="10">
        <f t="shared" si="14"/>
        <v>0.74583333333333335</v>
      </c>
      <c r="N76" s="12">
        <f t="shared" si="15"/>
        <v>11.933333333333334</v>
      </c>
    </row>
    <row r="77" spans="1:14">
      <c r="A77" s="2">
        <f t="shared" si="9"/>
        <v>86</v>
      </c>
      <c r="B77" s="2">
        <v>76</v>
      </c>
      <c r="C77" s="13">
        <v>40619</v>
      </c>
      <c r="D77" s="14">
        <v>40984</v>
      </c>
      <c r="E77" s="2">
        <v>556</v>
      </c>
      <c r="F77" s="2">
        <v>1755</v>
      </c>
      <c r="G77" s="2">
        <v>1</v>
      </c>
      <c r="H77" s="2">
        <f t="shared" si="10"/>
        <v>5</v>
      </c>
      <c r="I77" s="2" t="str">
        <f t="shared" si="8"/>
        <v>56</v>
      </c>
      <c r="J77" s="10">
        <f t="shared" si="11"/>
        <v>0.24722222222222223</v>
      </c>
      <c r="K77" s="2">
        <f t="shared" si="12"/>
        <v>17</v>
      </c>
      <c r="L77">
        <f t="shared" si="13"/>
        <v>55</v>
      </c>
      <c r="M77" s="10">
        <f t="shared" si="14"/>
        <v>0.74652777777777779</v>
      </c>
      <c r="N77" s="12">
        <f t="shared" si="15"/>
        <v>11.983333333333334</v>
      </c>
    </row>
    <row r="78" spans="1:14">
      <c r="A78" s="2">
        <f t="shared" si="9"/>
        <v>87</v>
      </c>
      <c r="B78" s="2">
        <v>77</v>
      </c>
      <c r="C78" s="13">
        <v>40620</v>
      </c>
      <c r="D78" s="14">
        <v>40985</v>
      </c>
      <c r="E78" s="2">
        <v>555</v>
      </c>
      <c r="F78" s="2">
        <v>1756</v>
      </c>
      <c r="G78" s="2">
        <v>1</v>
      </c>
      <c r="H78" s="2">
        <f t="shared" si="10"/>
        <v>5</v>
      </c>
      <c r="I78" s="2" t="str">
        <f t="shared" si="8"/>
        <v>55</v>
      </c>
      <c r="J78" s="10">
        <f t="shared" si="11"/>
        <v>0.24652777777777779</v>
      </c>
      <c r="K78" s="2">
        <f t="shared" si="12"/>
        <v>17</v>
      </c>
      <c r="L78">
        <f t="shared" si="13"/>
        <v>56</v>
      </c>
      <c r="M78" s="10">
        <f t="shared" si="14"/>
        <v>0.74722222222222223</v>
      </c>
      <c r="N78" s="12">
        <f t="shared" si="15"/>
        <v>12.016666666666666</v>
      </c>
    </row>
    <row r="79" spans="1:14">
      <c r="A79" s="2">
        <f t="shared" si="9"/>
        <v>88</v>
      </c>
      <c r="B79" s="2">
        <v>78</v>
      </c>
      <c r="C79" s="13">
        <v>40621</v>
      </c>
      <c r="D79" s="14">
        <v>40986</v>
      </c>
      <c r="E79" s="2">
        <v>553</v>
      </c>
      <c r="F79" s="2">
        <v>1757</v>
      </c>
      <c r="G79" s="2">
        <v>1</v>
      </c>
      <c r="H79" s="2">
        <f t="shared" si="10"/>
        <v>5</v>
      </c>
      <c r="I79" s="2" t="str">
        <f t="shared" si="8"/>
        <v>53</v>
      </c>
      <c r="J79" s="10">
        <f t="shared" si="11"/>
        <v>0.24513888888888888</v>
      </c>
      <c r="K79" s="2">
        <f t="shared" si="12"/>
        <v>17</v>
      </c>
      <c r="L79">
        <f t="shared" si="13"/>
        <v>57</v>
      </c>
      <c r="M79" s="10">
        <f t="shared" si="14"/>
        <v>0.74791666666666667</v>
      </c>
      <c r="N79" s="12">
        <f t="shared" si="15"/>
        <v>12.066666666666666</v>
      </c>
    </row>
    <row r="80" spans="1:14">
      <c r="A80" s="2">
        <f t="shared" si="9"/>
        <v>89</v>
      </c>
      <c r="B80" s="2">
        <v>79</v>
      </c>
      <c r="C80" s="13">
        <v>40622</v>
      </c>
      <c r="D80" s="14">
        <v>40987</v>
      </c>
      <c r="E80" s="2">
        <v>551</v>
      </c>
      <c r="F80" s="2">
        <v>1758</v>
      </c>
      <c r="G80" s="2">
        <v>1</v>
      </c>
      <c r="H80" s="2">
        <f t="shared" si="10"/>
        <v>5</v>
      </c>
      <c r="I80" s="2" t="str">
        <f t="shared" si="8"/>
        <v>51</v>
      </c>
      <c r="J80" s="10">
        <f t="shared" si="11"/>
        <v>0.24374999999999999</v>
      </c>
      <c r="K80" s="2">
        <f t="shared" si="12"/>
        <v>17</v>
      </c>
      <c r="L80">
        <f t="shared" si="13"/>
        <v>58</v>
      </c>
      <c r="M80" s="10">
        <f t="shared" si="14"/>
        <v>0.74861111111111112</v>
      </c>
      <c r="N80" s="12">
        <f t="shared" si="15"/>
        <v>12.116666666666667</v>
      </c>
    </row>
    <row r="81" spans="1:14">
      <c r="A81" s="2">
        <f t="shared" si="9"/>
        <v>90</v>
      </c>
      <c r="B81" s="2">
        <v>80</v>
      </c>
      <c r="C81" s="13">
        <v>40623</v>
      </c>
      <c r="D81" s="14">
        <v>40988</v>
      </c>
      <c r="E81" s="2">
        <v>549</v>
      </c>
      <c r="F81" s="2">
        <v>1800</v>
      </c>
      <c r="G81" s="2">
        <v>1</v>
      </c>
      <c r="H81" s="2">
        <f t="shared" si="10"/>
        <v>5</v>
      </c>
      <c r="I81" s="2" t="str">
        <f t="shared" si="8"/>
        <v>49</v>
      </c>
      <c r="J81" s="10">
        <f t="shared" si="11"/>
        <v>0.24236111111111111</v>
      </c>
      <c r="K81" s="2">
        <f t="shared" si="12"/>
        <v>18</v>
      </c>
      <c r="L81">
        <f t="shared" si="13"/>
        <v>0</v>
      </c>
      <c r="M81" s="10">
        <f t="shared" si="14"/>
        <v>0.75</v>
      </c>
      <c r="N81" s="12">
        <f t="shared" si="15"/>
        <v>12.183333333333334</v>
      </c>
    </row>
    <row r="82" spans="1:14">
      <c r="A82" s="2">
        <f t="shared" si="9"/>
        <v>91</v>
      </c>
      <c r="B82" s="2">
        <v>81</v>
      </c>
      <c r="C82" s="13">
        <v>40624</v>
      </c>
      <c r="D82" s="14">
        <v>40989</v>
      </c>
      <c r="E82" s="2">
        <v>547</v>
      </c>
      <c r="F82" s="2">
        <v>1801</v>
      </c>
      <c r="G82" s="2">
        <v>1</v>
      </c>
      <c r="H82" s="2">
        <f t="shared" si="10"/>
        <v>5</v>
      </c>
      <c r="I82" s="2" t="str">
        <f t="shared" si="8"/>
        <v>47</v>
      </c>
      <c r="J82" s="10">
        <f t="shared" si="11"/>
        <v>0.24097222222222223</v>
      </c>
      <c r="K82" s="2">
        <f t="shared" si="12"/>
        <v>18</v>
      </c>
      <c r="L82">
        <f t="shared" si="13"/>
        <v>1</v>
      </c>
      <c r="M82" s="10">
        <f t="shared" si="14"/>
        <v>0.75069444444444444</v>
      </c>
      <c r="N82" s="12">
        <f t="shared" si="15"/>
        <v>12.233333333333333</v>
      </c>
    </row>
    <row r="83" spans="1:14">
      <c r="A83" s="2">
        <f t="shared" si="9"/>
        <v>92</v>
      </c>
      <c r="B83" s="2">
        <v>82</v>
      </c>
      <c r="C83" s="13">
        <v>40625</v>
      </c>
      <c r="D83" s="14">
        <v>40990</v>
      </c>
      <c r="E83" s="2">
        <v>546</v>
      </c>
      <c r="F83" s="2">
        <v>1802</v>
      </c>
      <c r="G83" s="2">
        <v>1</v>
      </c>
      <c r="H83" s="2">
        <f t="shared" si="10"/>
        <v>5</v>
      </c>
      <c r="I83" s="2" t="str">
        <f t="shared" si="8"/>
        <v>46</v>
      </c>
      <c r="J83" s="10">
        <f t="shared" si="11"/>
        <v>0.24027777777777778</v>
      </c>
      <c r="K83" s="2">
        <f t="shared" si="12"/>
        <v>18</v>
      </c>
      <c r="L83">
        <f t="shared" si="13"/>
        <v>2</v>
      </c>
      <c r="M83" s="10">
        <f t="shared" si="14"/>
        <v>0.75138888888888888</v>
      </c>
      <c r="N83" s="12">
        <f t="shared" si="15"/>
        <v>12.266666666666666</v>
      </c>
    </row>
    <row r="84" spans="1:14">
      <c r="A84" s="2">
        <f t="shared" si="9"/>
        <v>93</v>
      </c>
      <c r="B84" s="2">
        <v>83</v>
      </c>
      <c r="C84" s="13">
        <v>40626</v>
      </c>
      <c r="D84" s="14">
        <v>40991</v>
      </c>
      <c r="E84" s="2">
        <v>544</v>
      </c>
      <c r="F84" s="2">
        <v>1803</v>
      </c>
      <c r="G84" s="2">
        <v>1</v>
      </c>
      <c r="H84" s="2">
        <f t="shared" si="10"/>
        <v>5</v>
      </c>
      <c r="I84" s="2" t="str">
        <f t="shared" si="8"/>
        <v>44</v>
      </c>
      <c r="J84" s="10">
        <f t="shared" si="11"/>
        <v>0.2388888888888889</v>
      </c>
      <c r="K84" s="2">
        <f t="shared" si="12"/>
        <v>18</v>
      </c>
      <c r="L84">
        <f t="shared" si="13"/>
        <v>3</v>
      </c>
      <c r="M84" s="10">
        <f t="shared" si="14"/>
        <v>0.75208333333333333</v>
      </c>
      <c r="N84" s="12">
        <f t="shared" si="15"/>
        <v>12.316666666666666</v>
      </c>
    </row>
    <row r="85" spans="1:14">
      <c r="A85" s="2">
        <f t="shared" si="9"/>
        <v>94</v>
      </c>
      <c r="B85" s="2">
        <v>84</v>
      </c>
      <c r="C85" s="13">
        <v>40627</v>
      </c>
      <c r="D85" s="14">
        <v>40992</v>
      </c>
      <c r="E85" s="2">
        <v>542</v>
      </c>
      <c r="F85" s="2">
        <v>1805</v>
      </c>
      <c r="G85" s="2">
        <v>1</v>
      </c>
      <c r="H85" s="2">
        <f t="shared" si="10"/>
        <v>5</v>
      </c>
      <c r="I85" s="2" t="str">
        <f t="shared" si="8"/>
        <v>42</v>
      </c>
      <c r="J85" s="10">
        <f t="shared" si="11"/>
        <v>0.23749999999999999</v>
      </c>
      <c r="K85" s="2">
        <f t="shared" si="12"/>
        <v>18</v>
      </c>
      <c r="L85">
        <f t="shared" si="13"/>
        <v>5</v>
      </c>
      <c r="M85" s="10">
        <f t="shared" si="14"/>
        <v>0.75347222222222221</v>
      </c>
      <c r="N85" s="12">
        <f t="shared" si="15"/>
        <v>12.383333333333335</v>
      </c>
    </row>
    <row r="86" spans="1:14">
      <c r="A86" s="2">
        <f t="shared" si="9"/>
        <v>95</v>
      </c>
      <c r="B86" s="2">
        <v>85</v>
      </c>
      <c r="C86" s="13">
        <v>40628</v>
      </c>
      <c r="D86" s="14">
        <v>40993</v>
      </c>
      <c r="E86" s="2">
        <v>540</v>
      </c>
      <c r="F86" s="2">
        <v>1806</v>
      </c>
      <c r="G86" s="2">
        <v>1</v>
      </c>
      <c r="H86" s="2">
        <f t="shared" si="10"/>
        <v>5</v>
      </c>
      <c r="I86" s="2" t="str">
        <f t="shared" si="8"/>
        <v>40</v>
      </c>
      <c r="J86" s="10">
        <f t="shared" si="11"/>
        <v>0.2361111111111111</v>
      </c>
      <c r="K86" s="2">
        <f t="shared" si="12"/>
        <v>18</v>
      </c>
      <c r="L86">
        <f t="shared" si="13"/>
        <v>6</v>
      </c>
      <c r="M86" s="10">
        <f t="shared" si="14"/>
        <v>0.75416666666666665</v>
      </c>
      <c r="N86" s="12">
        <f t="shared" si="15"/>
        <v>12.433333333333332</v>
      </c>
    </row>
    <row r="87" spans="1:14">
      <c r="A87" s="2">
        <f t="shared" si="9"/>
        <v>96</v>
      </c>
      <c r="B87" s="2">
        <v>86</v>
      </c>
      <c r="C87" s="13">
        <v>40629</v>
      </c>
      <c r="D87" s="14">
        <v>40994</v>
      </c>
      <c r="E87" s="2">
        <v>538</v>
      </c>
      <c r="F87" s="2">
        <v>1807</v>
      </c>
      <c r="G87" s="2">
        <v>1</v>
      </c>
      <c r="H87" s="2">
        <f t="shared" si="10"/>
        <v>5</v>
      </c>
      <c r="I87" s="2" t="str">
        <f t="shared" si="8"/>
        <v>38</v>
      </c>
      <c r="J87" s="10">
        <f t="shared" si="11"/>
        <v>0.23472222222222222</v>
      </c>
      <c r="K87" s="2">
        <f t="shared" si="12"/>
        <v>18</v>
      </c>
      <c r="L87">
        <f t="shared" si="13"/>
        <v>7</v>
      </c>
      <c r="M87" s="10">
        <f t="shared" si="14"/>
        <v>0.75486111111111109</v>
      </c>
      <c r="N87" s="12">
        <f t="shared" si="15"/>
        <v>12.483333333333334</v>
      </c>
    </row>
    <row r="88" spans="1:14">
      <c r="A88" s="2">
        <f t="shared" si="9"/>
        <v>97</v>
      </c>
      <c r="B88" s="2">
        <v>87</v>
      </c>
      <c r="C88" s="13">
        <v>40630</v>
      </c>
      <c r="D88" s="14">
        <v>40995</v>
      </c>
      <c r="E88" s="2">
        <v>537</v>
      </c>
      <c r="F88" s="2">
        <v>1808</v>
      </c>
      <c r="G88" s="2">
        <v>1</v>
      </c>
      <c r="H88" s="2">
        <f t="shared" si="10"/>
        <v>5</v>
      </c>
      <c r="I88" s="2" t="str">
        <f t="shared" si="8"/>
        <v>37</v>
      </c>
      <c r="J88" s="10">
        <f t="shared" si="11"/>
        <v>0.23402777777777778</v>
      </c>
      <c r="K88" s="2">
        <f t="shared" si="12"/>
        <v>18</v>
      </c>
      <c r="L88">
        <f t="shared" si="13"/>
        <v>8</v>
      </c>
      <c r="M88" s="10">
        <f t="shared" si="14"/>
        <v>0.75555555555555554</v>
      </c>
      <c r="N88" s="12">
        <f t="shared" si="15"/>
        <v>12.516666666666667</v>
      </c>
    </row>
    <row r="89" spans="1:14">
      <c r="A89" s="2">
        <f t="shared" si="9"/>
        <v>98</v>
      </c>
      <c r="B89" s="2">
        <v>88</v>
      </c>
      <c r="C89" s="13">
        <v>40631</v>
      </c>
      <c r="D89" s="14">
        <v>40996</v>
      </c>
      <c r="E89" s="2">
        <v>535</v>
      </c>
      <c r="F89" s="2">
        <v>1809</v>
      </c>
      <c r="G89" s="2">
        <v>1</v>
      </c>
      <c r="H89" s="2">
        <f t="shared" si="10"/>
        <v>5</v>
      </c>
      <c r="I89" s="2" t="str">
        <f t="shared" si="8"/>
        <v>35</v>
      </c>
      <c r="J89" s="10">
        <f t="shared" si="11"/>
        <v>0.2326388888888889</v>
      </c>
      <c r="K89" s="2">
        <f t="shared" si="12"/>
        <v>18</v>
      </c>
      <c r="L89">
        <f t="shared" si="13"/>
        <v>9</v>
      </c>
      <c r="M89" s="10">
        <f t="shared" si="14"/>
        <v>0.75624999999999998</v>
      </c>
      <c r="N89" s="12">
        <f t="shared" si="15"/>
        <v>12.566666666666665</v>
      </c>
    </row>
    <row r="90" spans="1:14">
      <c r="A90" s="2">
        <f t="shared" si="9"/>
        <v>99</v>
      </c>
      <c r="B90" s="2">
        <v>89</v>
      </c>
      <c r="C90" s="13">
        <v>40632</v>
      </c>
      <c r="D90" s="14">
        <v>40997</v>
      </c>
      <c r="E90" s="2">
        <v>533</v>
      </c>
      <c r="F90" s="2">
        <v>1811</v>
      </c>
      <c r="G90" s="2">
        <v>1</v>
      </c>
      <c r="H90" s="2">
        <f t="shared" si="10"/>
        <v>5</v>
      </c>
      <c r="I90" s="2" t="str">
        <f t="shared" si="8"/>
        <v>33</v>
      </c>
      <c r="J90" s="10">
        <f t="shared" si="11"/>
        <v>0.23125000000000001</v>
      </c>
      <c r="K90" s="2">
        <f t="shared" si="12"/>
        <v>18</v>
      </c>
      <c r="L90">
        <f t="shared" si="13"/>
        <v>11</v>
      </c>
      <c r="M90" s="10">
        <f t="shared" si="14"/>
        <v>0.75763888888888886</v>
      </c>
      <c r="N90" s="12">
        <f t="shared" si="15"/>
        <v>12.633333333333331</v>
      </c>
    </row>
    <row r="91" spans="1:14">
      <c r="A91" s="2">
        <f t="shared" si="9"/>
        <v>100</v>
      </c>
      <c r="B91" s="2">
        <v>90</v>
      </c>
      <c r="C91" s="13">
        <v>40633</v>
      </c>
      <c r="D91" s="14">
        <v>40998</v>
      </c>
      <c r="E91" s="2">
        <v>531</v>
      </c>
      <c r="F91" s="2">
        <v>1812</v>
      </c>
      <c r="G91" s="2">
        <v>1</v>
      </c>
      <c r="H91" s="2">
        <f t="shared" si="10"/>
        <v>5</v>
      </c>
      <c r="I91" s="2" t="str">
        <f t="shared" si="8"/>
        <v>31</v>
      </c>
      <c r="J91" s="10">
        <f t="shared" si="11"/>
        <v>0.2298611111111111</v>
      </c>
      <c r="K91" s="2">
        <f t="shared" si="12"/>
        <v>18</v>
      </c>
      <c r="L91">
        <f t="shared" si="13"/>
        <v>12</v>
      </c>
      <c r="M91" s="10">
        <f t="shared" si="14"/>
        <v>0.7583333333333333</v>
      </c>
      <c r="N91" s="12">
        <f t="shared" si="15"/>
        <v>12.683333333333334</v>
      </c>
    </row>
    <row r="92" spans="1:14">
      <c r="A92" s="2">
        <f t="shared" si="9"/>
        <v>101</v>
      </c>
      <c r="B92" s="2">
        <v>91</v>
      </c>
      <c r="C92" s="13">
        <v>40634</v>
      </c>
      <c r="D92" s="14">
        <v>40999</v>
      </c>
      <c r="E92" s="2">
        <v>529</v>
      </c>
      <c r="F92" s="2">
        <v>1813</v>
      </c>
      <c r="G92" s="2">
        <v>1</v>
      </c>
      <c r="H92" s="2">
        <f t="shared" si="10"/>
        <v>5</v>
      </c>
      <c r="I92" s="2" t="str">
        <f t="shared" si="8"/>
        <v>29</v>
      </c>
      <c r="J92" s="10">
        <f t="shared" si="11"/>
        <v>0.22847222222222222</v>
      </c>
      <c r="K92" s="2">
        <f t="shared" si="12"/>
        <v>18</v>
      </c>
      <c r="L92">
        <f t="shared" si="13"/>
        <v>13</v>
      </c>
      <c r="M92" s="10">
        <f t="shared" si="14"/>
        <v>0.75902777777777775</v>
      </c>
      <c r="N92" s="12">
        <f t="shared" si="15"/>
        <v>12.733333333333334</v>
      </c>
    </row>
    <row r="93" spans="1:14">
      <c r="A93" s="2">
        <f t="shared" si="9"/>
        <v>102</v>
      </c>
      <c r="B93" s="2">
        <v>92</v>
      </c>
      <c r="C93" s="13">
        <v>40635</v>
      </c>
      <c r="D93" s="14">
        <v>41000</v>
      </c>
      <c r="E93" s="2">
        <v>528</v>
      </c>
      <c r="F93" s="2">
        <v>1814</v>
      </c>
      <c r="G93" s="2">
        <v>1</v>
      </c>
      <c r="H93" s="2">
        <f t="shared" si="10"/>
        <v>5</v>
      </c>
      <c r="I93" s="2" t="str">
        <f t="shared" si="8"/>
        <v>28</v>
      </c>
      <c r="J93" s="10">
        <f t="shared" si="11"/>
        <v>0.22777777777777777</v>
      </c>
      <c r="K93" s="2">
        <f t="shared" si="12"/>
        <v>18</v>
      </c>
      <c r="L93">
        <f t="shared" si="13"/>
        <v>14</v>
      </c>
      <c r="M93" s="10">
        <f t="shared" si="14"/>
        <v>0.75972222222222219</v>
      </c>
      <c r="N93" s="12">
        <f t="shared" si="15"/>
        <v>12.766666666666666</v>
      </c>
    </row>
    <row r="94" spans="1:14">
      <c r="A94" s="2">
        <f t="shared" si="9"/>
        <v>103</v>
      </c>
      <c r="B94" s="2">
        <v>93</v>
      </c>
      <c r="C94" s="13">
        <v>40636</v>
      </c>
      <c r="D94" s="14">
        <v>41001</v>
      </c>
      <c r="E94" s="2">
        <v>526</v>
      </c>
      <c r="F94" s="2">
        <v>1815</v>
      </c>
      <c r="G94" s="2">
        <v>1</v>
      </c>
      <c r="H94" s="2">
        <f t="shared" si="10"/>
        <v>5</v>
      </c>
      <c r="I94" s="2" t="str">
        <f t="shared" si="8"/>
        <v>26</v>
      </c>
      <c r="J94" s="10">
        <f t="shared" si="11"/>
        <v>0.22638888888888889</v>
      </c>
      <c r="K94" s="2">
        <f t="shared" si="12"/>
        <v>18</v>
      </c>
      <c r="L94">
        <f t="shared" si="13"/>
        <v>15</v>
      </c>
      <c r="M94" s="10">
        <f t="shared" si="14"/>
        <v>0.76041666666666663</v>
      </c>
      <c r="N94" s="12">
        <f t="shared" si="15"/>
        <v>12.816666666666666</v>
      </c>
    </row>
    <row r="95" spans="1:14">
      <c r="A95" s="2">
        <f t="shared" si="9"/>
        <v>104</v>
      </c>
      <c r="B95" s="2">
        <v>94</v>
      </c>
      <c r="C95" s="13">
        <v>40637</v>
      </c>
      <c r="D95" s="14">
        <v>41002</v>
      </c>
      <c r="E95" s="2">
        <v>524</v>
      </c>
      <c r="F95" s="2">
        <v>1817</v>
      </c>
      <c r="G95" s="2">
        <v>1</v>
      </c>
      <c r="H95" s="2">
        <f t="shared" si="10"/>
        <v>5</v>
      </c>
      <c r="I95" s="2" t="str">
        <f t="shared" si="8"/>
        <v>24</v>
      </c>
      <c r="J95" s="10">
        <f t="shared" si="11"/>
        <v>0.22500000000000001</v>
      </c>
      <c r="K95" s="2">
        <f t="shared" si="12"/>
        <v>18</v>
      </c>
      <c r="L95">
        <f t="shared" si="13"/>
        <v>17</v>
      </c>
      <c r="M95" s="10">
        <f t="shared" si="14"/>
        <v>0.76180555555555551</v>
      </c>
      <c r="N95" s="12">
        <f t="shared" si="15"/>
        <v>12.883333333333333</v>
      </c>
    </row>
    <row r="96" spans="1:14">
      <c r="A96" s="2">
        <f t="shared" si="9"/>
        <v>105</v>
      </c>
      <c r="B96" s="2">
        <v>95</v>
      </c>
      <c r="C96" s="13">
        <v>40638</v>
      </c>
      <c r="D96" s="14">
        <v>41003</v>
      </c>
      <c r="E96" s="2">
        <v>522</v>
      </c>
      <c r="F96" s="2">
        <v>1818</v>
      </c>
      <c r="G96" s="2">
        <v>1</v>
      </c>
      <c r="H96" s="2">
        <f t="shared" si="10"/>
        <v>5</v>
      </c>
      <c r="I96" s="2" t="str">
        <f t="shared" si="8"/>
        <v>22</v>
      </c>
      <c r="J96" s="10">
        <f t="shared" si="11"/>
        <v>0.22361111111111112</v>
      </c>
      <c r="K96" s="2">
        <f t="shared" si="12"/>
        <v>18</v>
      </c>
      <c r="L96">
        <f t="shared" si="13"/>
        <v>18</v>
      </c>
      <c r="M96" s="10">
        <f t="shared" si="14"/>
        <v>0.76249999999999996</v>
      </c>
      <c r="N96" s="12">
        <f t="shared" si="15"/>
        <v>12.933333333333334</v>
      </c>
    </row>
    <row r="97" spans="1:14">
      <c r="A97" s="2">
        <f t="shared" si="9"/>
        <v>106</v>
      </c>
      <c r="B97" s="2">
        <v>96</v>
      </c>
      <c r="C97" s="13">
        <v>40639</v>
      </c>
      <c r="D97" s="14">
        <v>41004</v>
      </c>
      <c r="E97" s="2">
        <v>520</v>
      </c>
      <c r="F97" s="2">
        <v>1819</v>
      </c>
      <c r="G97" s="2">
        <v>1</v>
      </c>
      <c r="H97" s="2">
        <f t="shared" si="10"/>
        <v>5</v>
      </c>
      <c r="I97" s="2" t="str">
        <f t="shared" si="8"/>
        <v>20</v>
      </c>
      <c r="J97" s="10">
        <f t="shared" si="11"/>
        <v>0.22222222222222221</v>
      </c>
      <c r="K97" s="2">
        <f t="shared" si="12"/>
        <v>18</v>
      </c>
      <c r="L97">
        <f t="shared" si="13"/>
        <v>19</v>
      </c>
      <c r="M97" s="10">
        <f t="shared" si="14"/>
        <v>0.7631944444444444</v>
      </c>
      <c r="N97" s="12">
        <f t="shared" si="15"/>
        <v>12.983333333333333</v>
      </c>
    </row>
    <row r="98" spans="1:14">
      <c r="A98" s="2">
        <f t="shared" si="9"/>
        <v>107</v>
      </c>
      <c r="B98" s="2">
        <v>97</v>
      </c>
      <c r="C98" s="13">
        <v>40640</v>
      </c>
      <c r="D98" s="14">
        <v>41005</v>
      </c>
      <c r="E98" s="2">
        <v>519</v>
      </c>
      <c r="F98" s="2">
        <v>1820</v>
      </c>
      <c r="G98" s="2">
        <v>1</v>
      </c>
      <c r="H98" s="2">
        <f t="shared" si="10"/>
        <v>5</v>
      </c>
      <c r="I98" s="2" t="str">
        <f t="shared" si="8"/>
        <v>19</v>
      </c>
      <c r="J98" s="10">
        <f t="shared" si="11"/>
        <v>0.22152777777777777</v>
      </c>
      <c r="K98" s="2">
        <f t="shared" si="12"/>
        <v>18</v>
      </c>
      <c r="L98">
        <f t="shared" si="13"/>
        <v>20</v>
      </c>
      <c r="M98" s="10">
        <f t="shared" si="14"/>
        <v>0.76388888888888884</v>
      </c>
      <c r="N98" s="12">
        <f t="shared" si="15"/>
        <v>13.016666666666666</v>
      </c>
    </row>
    <row r="99" spans="1:14">
      <c r="A99" s="2">
        <f t="shared" si="9"/>
        <v>108</v>
      </c>
      <c r="B99" s="2">
        <v>98</v>
      </c>
      <c r="C99" s="13">
        <v>40641</v>
      </c>
      <c r="D99" s="14">
        <v>41006</v>
      </c>
      <c r="E99" s="2">
        <v>517</v>
      </c>
      <c r="F99" s="2">
        <v>1821</v>
      </c>
      <c r="G99" s="2">
        <v>1</v>
      </c>
      <c r="H99" s="2">
        <f t="shared" si="10"/>
        <v>5</v>
      </c>
      <c r="I99" s="2" t="str">
        <f t="shared" si="8"/>
        <v>17</v>
      </c>
      <c r="J99" s="10">
        <f t="shared" si="11"/>
        <v>0.22013888888888888</v>
      </c>
      <c r="K99" s="2">
        <f t="shared" si="12"/>
        <v>18</v>
      </c>
      <c r="L99">
        <f t="shared" si="13"/>
        <v>21</v>
      </c>
      <c r="M99" s="10">
        <f t="shared" si="14"/>
        <v>0.76458333333333328</v>
      </c>
      <c r="N99" s="12">
        <f t="shared" si="15"/>
        <v>13.066666666666666</v>
      </c>
    </row>
    <row r="100" spans="1:14">
      <c r="A100" s="2">
        <f t="shared" si="9"/>
        <v>109</v>
      </c>
      <c r="B100" s="2">
        <v>99</v>
      </c>
      <c r="C100" s="13">
        <v>40642</v>
      </c>
      <c r="D100" s="14">
        <v>41007</v>
      </c>
      <c r="E100" s="2">
        <v>515</v>
      </c>
      <c r="F100" s="2">
        <v>1823</v>
      </c>
      <c r="G100" s="2">
        <v>1</v>
      </c>
      <c r="H100" s="2">
        <f t="shared" si="10"/>
        <v>5</v>
      </c>
      <c r="I100" s="2" t="str">
        <f t="shared" si="8"/>
        <v>15</v>
      </c>
      <c r="J100" s="10">
        <f t="shared" si="11"/>
        <v>0.21875</v>
      </c>
      <c r="K100" s="2">
        <f t="shared" si="12"/>
        <v>18</v>
      </c>
      <c r="L100">
        <f t="shared" si="13"/>
        <v>23</v>
      </c>
      <c r="M100" s="10">
        <f t="shared" si="14"/>
        <v>0.76597222222222228</v>
      </c>
      <c r="N100" s="12">
        <f t="shared" si="15"/>
        <v>13.133333333333335</v>
      </c>
    </row>
    <row r="101" spans="1:14">
      <c r="A101" s="2">
        <f t="shared" si="9"/>
        <v>110</v>
      </c>
      <c r="B101" s="2">
        <v>100</v>
      </c>
      <c r="C101" s="13">
        <v>40643</v>
      </c>
      <c r="D101" s="14">
        <v>41008</v>
      </c>
      <c r="E101" s="2">
        <v>513</v>
      </c>
      <c r="F101" s="2">
        <v>1824</v>
      </c>
      <c r="G101" s="2">
        <v>1</v>
      </c>
      <c r="H101" s="2">
        <f t="shared" si="10"/>
        <v>5</v>
      </c>
      <c r="I101" s="2" t="str">
        <f t="shared" si="8"/>
        <v>13</v>
      </c>
      <c r="J101" s="10">
        <f t="shared" si="11"/>
        <v>0.21736111111111112</v>
      </c>
      <c r="K101" s="2">
        <f t="shared" si="12"/>
        <v>18</v>
      </c>
      <c r="L101">
        <f t="shared" si="13"/>
        <v>24</v>
      </c>
      <c r="M101" s="10">
        <f t="shared" si="14"/>
        <v>0.76666666666666672</v>
      </c>
      <c r="N101" s="12">
        <f t="shared" si="15"/>
        <v>13.183333333333334</v>
      </c>
    </row>
    <row r="102" spans="1:14">
      <c r="A102" s="2">
        <f t="shared" si="9"/>
        <v>111</v>
      </c>
      <c r="B102" s="2">
        <v>101</v>
      </c>
      <c r="C102" s="13">
        <v>40644</v>
      </c>
      <c r="D102" s="14">
        <v>41009</v>
      </c>
      <c r="E102" s="2">
        <v>512</v>
      </c>
      <c r="F102" s="2">
        <v>1825</v>
      </c>
      <c r="G102" s="2">
        <v>1</v>
      </c>
      <c r="H102" s="2">
        <f t="shared" si="10"/>
        <v>5</v>
      </c>
      <c r="I102" s="2" t="str">
        <f t="shared" si="8"/>
        <v>12</v>
      </c>
      <c r="J102" s="10">
        <f t="shared" si="11"/>
        <v>0.21666666666666667</v>
      </c>
      <c r="K102" s="2">
        <f t="shared" si="12"/>
        <v>18</v>
      </c>
      <c r="L102">
        <f t="shared" si="13"/>
        <v>25</v>
      </c>
      <c r="M102" s="10">
        <f t="shared" si="14"/>
        <v>0.76736111111111116</v>
      </c>
      <c r="N102" s="12">
        <f t="shared" si="15"/>
        <v>13.216666666666669</v>
      </c>
    </row>
    <row r="103" spans="1:14">
      <c r="A103" s="2">
        <f t="shared" si="9"/>
        <v>112</v>
      </c>
      <c r="B103" s="2">
        <v>102</v>
      </c>
      <c r="C103" s="13">
        <v>40645</v>
      </c>
      <c r="D103" s="14">
        <v>41010</v>
      </c>
      <c r="E103" s="2">
        <v>510</v>
      </c>
      <c r="F103" s="2">
        <v>1826</v>
      </c>
      <c r="G103" s="2">
        <v>1</v>
      </c>
      <c r="H103" s="2">
        <f t="shared" si="10"/>
        <v>5</v>
      </c>
      <c r="I103" s="2" t="str">
        <f t="shared" si="8"/>
        <v>10</v>
      </c>
      <c r="J103" s="10">
        <f t="shared" si="11"/>
        <v>0.21527777777777779</v>
      </c>
      <c r="K103" s="2">
        <f t="shared" si="12"/>
        <v>18</v>
      </c>
      <c r="L103">
        <f t="shared" si="13"/>
        <v>26</v>
      </c>
      <c r="M103" s="10">
        <f t="shared" si="14"/>
        <v>0.7680555555555556</v>
      </c>
      <c r="N103" s="12">
        <f t="shared" si="15"/>
        <v>13.266666666666667</v>
      </c>
    </row>
    <row r="104" spans="1:14">
      <c r="A104" s="2">
        <f t="shared" si="9"/>
        <v>113</v>
      </c>
      <c r="B104" s="2">
        <v>103</v>
      </c>
      <c r="C104" s="13">
        <v>40646</v>
      </c>
      <c r="D104" s="14">
        <v>41011</v>
      </c>
      <c r="E104" s="2">
        <v>508</v>
      </c>
      <c r="F104" s="2">
        <v>1827</v>
      </c>
      <c r="G104" s="2">
        <v>1</v>
      </c>
      <c r="H104" s="2">
        <f t="shared" si="10"/>
        <v>5</v>
      </c>
      <c r="I104" s="2" t="str">
        <f t="shared" si="8"/>
        <v>08</v>
      </c>
      <c r="J104" s="10">
        <f t="shared" si="11"/>
        <v>0.21388888888888888</v>
      </c>
      <c r="K104" s="2">
        <f t="shared" si="12"/>
        <v>18</v>
      </c>
      <c r="L104">
        <f t="shared" si="13"/>
        <v>27</v>
      </c>
      <c r="M104" s="10">
        <f t="shared" si="14"/>
        <v>0.76875000000000004</v>
      </c>
      <c r="N104" s="12">
        <f t="shared" si="15"/>
        <v>13.316666666666666</v>
      </c>
    </row>
    <row r="105" spans="1:14">
      <c r="A105" s="2">
        <f t="shared" si="9"/>
        <v>114</v>
      </c>
      <c r="B105" s="2">
        <v>104</v>
      </c>
      <c r="C105" s="13">
        <v>40647</v>
      </c>
      <c r="D105" s="14">
        <v>41012</v>
      </c>
      <c r="E105" s="2">
        <v>507</v>
      </c>
      <c r="F105" s="2">
        <v>1829</v>
      </c>
      <c r="G105" s="2">
        <v>1</v>
      </c>
      <c r="H105" s="2">
        <f t="shared" si="10"/>
        <v>5</v>
      </c>
      <c r="I105" s="2" t="str">
        <f t="shared" si="8"/>
        <v>07</v>
      </c>
      <c r="J105" s="10">
        <f t="shared" si="11"/>
        <v>0.21319444444444444</v>
      </c>
      <c r="K105" s="2">
        <f t="shared" si="12"/>
        <v>18</v>
      </c>
      <c r="L105">
        <f t="shared" si="13"/>
        <v>29</v>
      </c>
      <c r="M105" s="10">
        <f t="shared" si="14"/>
        <v>0.77013888888888893</v>
      </c>
      <c r="N105" s="12">
        <f t="shared" si="15"/>
        <v>13.366666666666667</v>
      </c>
    </row>
    <row r="106" spans="1:14">
      <c r="A106" s="2">
        <f t="shared" si="9"/>
        <v>115</v>
      </c>
      <c r="B106" s="2">
        <v>105</v>
      </c>
      <c r="C106" s="13">
        <v>40648</v>
      </c>
      <c r="D106" s="14">
        <v>41013</v>
      </c>
      <c r="E106" s="2">
        <v>505</v>
      </c>
      <c r="F106" s="2">
        <v>1830</v>
      </c>
      <c r="G106" s="2">
        <v>1</v>
      </c>
      <c r="H106" s="2">
        <f t="shared" si="10"/>
        <v>5</v>
      </c>
      <c r="I106" s="2" t="str">
        <f t="shared" si="8"/>
        <v>05</v>
      </c>
      <c r="J106" s="10">
        <f t="shared" si="11"/>
        <v>0.21180555555555555</v>
      </c>
      <c r="K106" s="2">
        <f t="shared" si="12"/>
        <v>18</v>
      </c>
      <c r="L106">
        <f t="shared" si="13"/>
        <v>30</v>
      </c>
      <c r="M106" s="10">
        <f t="shared" si="14"/>
        <v>0.77083333333333337</v>
      </c>
      <c r="N106" s="12">
        <f t="shared" si="15"/>
        <v>13.416666666666668</v>
      </c>
    </row>
    <row r="107" spans="1:14">
      <c r="A107" s="2">
        <f t="shared" si="9"/>
        <v>116</v>
      </c>
      <c r="B107" s="2">
        <v>106</v>
      </c>
      <c r="C107" s="13">
        <v>40649</v>
      </c>
      <c r="D107" s="14">
        <v>41014</v>
      </c>
      <c r="E107" s="2">
        <v>503</v>
      </c>
      <c r="F107" s="2">
        <v>1831</v>
      </c>
      <c r="G107" s="2">
        <v>1</v>
      </c>
      <c r="H107" s="2">
        <f t="shared" si="10"/>
        <v>5</v>
      </c>
      <c r="I107" s="2" t="str">
        <f t="shared" si="8"/>
        <v>03</v>
      </c>
      <c r="J107" s="10">
        <f t="shared" si="11"/>
        <v>0.21041666666666667</v>
      </c>
      <c r="K107" s="2">
        <f t="shared" si="12"/>
        <v>18</v>
      </c>
      <c r="L107">
        <f t="shared" si="13"/>
        <v>31</v>
      </c>
      <c r="M107" s="10">
        <f t="shared" si="14"/>
        <v>0.77152777777777781</v>
      </c>
      <c r="N107" s="12">
        <f t="shared" si="15"/>
        <v>13.466666666666667</v>
      </c>
    </row>
    <row r="108" spans="1:14">
      <c r="A108" s="2">
        <f t="shared" si="9"/>
        <v>117</v>
      </c>
      <c r="B108" s="2">
        <v>107</v>
      </c>
      <c r="C108" s="13">
        <v>40650</v>
      </c>
      <c r="D108" s="14">
        <v>41015</v>
      </c>
      <c r="E108" s="2">
        <v>501</v>
      </c>
      <c r="F108" s="2">
        <v>1832</v>
      </c>
      <c r="G108" s="2">
        <v>1</v>
      </c>
      <c r="H108" s="2">
        <f t="shared" si="10"/>
        <v>5</v>
      </c>
      <c r="I108" s="2" t="str">
        <f t="shared" si="8"/>
        <v>01</v>
      </c>
      <c r="J108" s="10">
        <f t="shared" si="11"/>
        <v>0.20902777777777778</v>
      </c>
      <c r="K108" s="2">
        <f t="shared" si="12"/>
        <v>18</v>
      </c>
      <c r="L108">
        <f t="shared" si="13"/>
        <v>32</v>
      </c>
      <c r="M108" s="10">
        <f t="shared" si="14"/>
        <v>0.77222222222222225</v>
      </c>
      <c r="N108" s="12">
        <f t="shared" si="15"/>
        <v>13.516666666666666</v>
      </c>
    </row>
    <row r="109" spans="1:14">
      <c r="A109" s="2">
        <f t="shared" si="9"/>
        <v>118</v>
      </c>
      <c r="B109" s="2">
        <v>108</v>
      </c>
      <c r="C109" s="13">
        <v>40651</v>
      </c>
      <c r="D109" s="14">
        <v>41016</v>
      </c>
      <c r="E109" s="2">
        <v>500</v>
      </c>
      <c r="F109" s="2">
        <v>1833</v>
      </c>
      <c r="G109" s="2">
        <v>1</v>
      </c>
      <c r="H109" s="2">
        <f t="shared" si="10"/>
        <v>5</v>
      </c>
      <c r="I109" s="2" t="str">
        <f t="shared" si="8"/>
        <v>00</v>
      </c>
      <c r="J109" s="10">
        <f t="shared" si="11"/>
        <v>0.20833333333333334</v>
      </c>
      <c r="K109" s="2">
        <f t="shared" si="12"/>
        <v>18</v>
      </c>
      <c r="L109">
        <f t="shared" si="13"/>
        <v>33</v>
      </c>
      <c r="M109" s="10">
        <f t="shared" si="14"/>
        <v>0.7729166666666667</v>
      </c>
      <c r="N109" s="12">
        <f t="shared" si="15"/>
        <v>13.55</v>
      </c>
    </row>
    <row r="110" spans="1:14">
      <c r="A110" s="2">
        <f t="shared" si="9"/>
        <v>119</v>
      </c>
      <c r="B110" s="2">
        <v>109</v>
      </c>
      <c r="C110" s="13">
        <v>40652</v>
      </c>
      <c r="D110" s="14">
        <v>41017</v>
      </c>
      <c r="E110" s="2">
        <v>458</v>
      </c>
      <c r="F110" s="2">
        <v>1835</v>
      </c>
      <c r="G110" s="2">
        <v>1</v>
      </c>
      <c r="H110" s="2">
        <f t="shared" si="10"/>
        <v>4</v>
      </c>
      <c r="I110" s="2" t="str">
        <f t="shared" si="8"/>
        <v>58</v>
      </c>
      <c r="J110" s="10">
        <f t="shared" si="11"/>
        <v>0.20694444444444443</v>
      </c>
      <c r="K110" s="2">
        <f t="shared" si="12"/>
        <v>18</v>
      </c>
      <c r="L110">
        <f t="shared" si="13"/>
        <v>35</v>
      </c>
      <c r="M110" s="10">
        <f t="shared" si="14"/>
        <v>0.77430555555555558</v>
      </c>
      <c r="N110" s="12">
        <f t="shared" si="15"/>
        <v>13.616666666666669</v>
      </c>
    </row>
    <row r="111" spans="1:14">
      <c r="A111" s="2">
        <f t="shared" si="9"/>
        <v>120</v>
      </c>
      <c r="B111" s="2">
        <v>110</v>
      </c>
      <c r="C111" s="13">
        <v>40653</v>
      </c>
      <c r="D111" s="14">
        <v>41018</v>
      </c>
      <c r="E111" s="2">
        <v>457</v>
      </c>
      <c r="F111" s="2">
        <v>1836</v>
      </c>
      <c r="G111" s="2">
        <v>1</v>
      </c>
      <c r="H111" s="2">
        <f t="shared" si="10"/>
        <v>4</v>
      </c>
      <c r="I111" s="2" t="str">
        <f t="shared" si="8"/>
        <v>57</v>
      </c>
      <c r="J111" s="10">
        <f t="shared" si="11"/>
        <v>0.20624999999999999</v>
      </c>
      <c r="K111" s="2">
        <f t="shared" si="12"/>
        <v>18</v>
      </c>
      <c r="L111">
        <f t="shared" si="13"/>
        <v>36</v>
      </c>
      <c r="M111" s="10">
        <f t="shared" si="14"/>
        <v>0.77500000000000002</v>
      </c>
      <c r="N111" s="12">
        <f t="shared" si="15"/>
        <v>13.650000000000002</v>
      </c>
    </row>
    <row r="112" spans="1:14">
      <c r="A112" s="2">
        <f t="shared" si="9"/>
        <v>121</v>
      </c>
      <c r="B112" s="2">
        <v>111</v>
      </c>
      <c r="C112" s="13">
        <v>40654</v>
      </c>
      <c r="D112" s="14">
        <v>41019</v>
      </c>
      <c r="E112" s="2">
        <v>455</v>
      </c>
      <c r="F112" s="2">
        <v>1837</v>
      </c>
      <c r="G112" s="2">
        <v>1</v>
      </c>
      <c r="H112" s="2">
        <f t="shared" si="10"/>
        <v>4</v>
      </c>
      <c r="I112" s="2" t="str">
        <f t="shared" si="8"/>
        <v>55</v>
      </c>
      <c r="J112" s="10">
        <f t="shared" si="11"/>
        <v>0.2048611111111111</v>
      </c>
      <c r="K112" s="2">
        <f t="shared" si="12"/>
        <v>18</v>
      </c>
      <c r="L112">
        <f t="shared" si="13"/>
        <v>37</v>
      </c>
      <c r="M112" s="10">
        <f t="shared" si="14"/>
        <v>0.77569444444444446</v>
      </c>
      <c r="N112" s="12">
        <f t="shared" si="15"/>
        <v>13.7</v>
      </c>
    </row>
    <row r="113" spans="1:14">
      <c r="A113" s="2">
        <f t="shared" si="9"/>
        <v>122</v>
      </c>
      <c r="B113" s="2">
        <v>112</v>
      </c>
      <c r="C113" s="13">
        <v>40655</v>
      </c>
      <c r="D113" s="14">
        <v>41020</v>
      </c>
      <c r="E113" s="2">
        <v>453</v>
      </c>
      <c r="F113" s="2">
        <v>1838</v>
      </c>
      <c r="G113" s="2">
        <v>1</v>
      </c>
      <c r="H113" s="2">
        <f t="shared" si="10"/>
        <v>4</v>
      </c>
      <c r="I113" s="2" t="str">
        <f t="shared" si="8"/>
        <v>53</v>
      </c>
      <c r="J113" s="10">
        <f t="shared" si="11"/>
        <v>0.20347222222222222</v>
      </c>
      <c r="K113" s="2">
        <f t="shared" si="12"/>
        <v>18</v>
      </c>
      <c r="L113">
        <f t="shared" si="13"/>
        <v>38</v>
      </c>
      <c r="M113" s="10">
        <f t="shared" si="14"/>
        <v>0.77638888888888891</v>
      </c>
      <c r="N113" s="12">
        <f t="shared" si="15"/>
        <v>13.750000000000002</v>
      </c>
    </row>
    <row r="114" spans="1:14">
      <c r="A114" s="2">
        <f t="shared" si="9"/>
        <v>123</v>
      </c>
      <c r="B114" s="2">
        <v>113</v>
      </c>
      <c r="C114" s="13">
        <v>40656</v>
      </c>
      <c r="D114" s="14">
        <v>41021</v>
      </c>
      <c r="E114" s="2">
        <v>452</v>
      </c>
      <c r="F114" s="2">
        <v>1839</v>
      </c>
      <c r="G114" s="2">
        <v>1</v>
      </c>
      <c r="H114" s="2">
        <f t="shared" si="10"/>
        <v>4</v>
      </c>
      <c r="I114" s="2" t="str">
        <f t="shared" si="8"/>
        <v>52</v>
      </c>
      <c r="J114" s="10">
        <f t="shared" si="11"/>
        <v>0.20277777777777778</v>
      </c>
      <c r="K114" s="2">
        <f t="shared" si="12"/>
        <v>18</v>
      </c>
      <c r="L114">
        <f t="shared" si="13"/>
        <v>39</v>
      </c>
      <c r="M114" s="10">
        <f t="shared" si="14"/>
        <v>0.77708333333333335</v>
      </c>
      <c r="N114" s="12">
        <f t="shared" si="15"/>
        <v>13.783333333333335</v>
      </c>
    </row>
    <row r="115" spans="1:14">
      <c r="A115" s="2">
        <f t="shared" si="9"/>
        <v>124</v>
      </c>
      <c r="B115" s="2">
        <v>114</v>
      </c>
      <c r="C115" s="13">
        <v>40657</v>
      </c>
      <c r="D115" s="14">
        <v>41022</v>
      </c>
      <c r="E115" s="2">
        <v>450</v>
      </c>
      <c r="F115" s="2">
        <v>1841</v>
      </c>
      <c r="G115" s="2">
        <v>1</v>
      </c>
      <c r="H115" s="2">
        <f t="shared" si="10"/>
        <v>4</v>
      </c>
      <c r="I115" s="2" t="str">
        <f t="shared" si="8"/>
        <v>50</v>
      </c>
      <c r="J115" s="10">
        <f t="shared" si="11"/>
        <v>0.2013888888888889</v>
      </c>
      <c r="K115" s="2">
        <f t="shared" si="12"/>
        <v>18</v>
      </c>
      <c r="L115">
        <f t="shared" si="13"/>
        <v>41</v>
      </c>
      <c r="M115" s="10">
        <f t="shared" si="14"/>
        <v>0.77847222222222223</v>
      </c>
      <c r="N115" s="12">
        <f t="shared" si="15"/>
        <v>13.850000000000001</v>
      </c>
    </row>
    <row r="116" spans="1:14">
      <c r="A116" s="2">
        <f t="shared" si="9"/>
        <v>125</v>
      </c>
      <c r="B116" s="2">
        <v>115</v>
      </c>
      <c r="C116" s="13">
        <v>40658</v>
      </c>
      <c r="D116" s="14">
        <v>41023</v>
      </c>
      <c r="E116" s="2">
        <v>449</v>
      </c>
      <c r="F116" s="2">
        <v>1842</v>
      </c>
      <c r="G116" s="2">
        <v>1</v>
      </c>
      <c r="H116" s="2">
        <f t="shared" si="10"/>
        <v>4</v>
      </c>
      <c r="I116" s="2" t="str">
        <f t="shared" si="8"/>
        <v>49</v>
      </c>
      <c r="J116" s="10">
        <f t="shared" si="11"/>
        <v>0.20069444444444445</v>
      </c>
      <c r="K116" s="2">
        <f t="shared" si="12"/>
        <v>18</v>
      </c>
      <c r="L116">
        <f t="shared" si="13"/>
        <v>42</v>
      </c>
      <c r="M116" s="10">
        <f t="shared" si="14"/>
        <v>0.77916666666666667</v>
      </c>
      <c r="N116" s="12">
        <f t="shared" si="15"/>
        <v>13.883333333333335</v>
      </c>
    </row>
    <row r="117" spans="1:14">
      <c r="A117" s="2">
        <f t="shared" si="9"/>
        <v>126</v>
      </c>
      <c r="B117" s="2">
        <v>116</v>
      </c>
      <c r="C117" s="13">
        <v>40659</v>
      </c>
      <c r="D117" s="14">
        <v>41024</v>
      </c>
      <c r="E117" s="2">
        <v>447</v>
      </c>
      <c r="F117" s="2">
        <v>1843</v>
      </c>
      <c r="G117" s="2">
        <v>1</v>
      </c>
      <c r="H117" s="2">
        <f t="shared" si="10"/>
        <v>4</v>
      </c>
      <c r="I117" s="2" t="str">
        <f t="shared" si="8"/>
        <v>47</v>
      </c>
      <c r="J117" s="10">
        <f t="shared" si="11"/>
        <v>0.19930555555555557</v>
      </c>
      <c r="K117" s="2">
        <f t="shared" si="12"/>
        <v>18</v>
      </c>
      <c r="L117">
        <f t="shared" si="13"/>
        <v>43</v>
      </c>
      <c r="M117" s="10">
        <f t="shared" si="14"/>
        <v>0.77986111111111112</v>
      </c>
      <c r="N117" s="12">
        <f t="shared" si="15"/>
        <v>13.933333333333332</v>
      </c>
    </row>
    <row r="118" spans="1:14">
      <c r="A118" s="2">
        <f t="shared" si="9"/>
        <v>127</v>
      </c>
      <c r="B118" s="2">
        <v>117</v>
      </c>
      <c r="C118" s="13">
        <v>40660</v>
      </c>
      <c r="D118" s="14">
        <v>41025</v>
      </c>
      <c r="E118" s="2">
        <v>446</v>
      </c>
      <c r="F118" s="2">
        <v>1844</v>
      </c>
      <c r="G118" s="2">
        <v>1</v>
      </c>
      <c r="H118" s="2">
        <f t="shared" si="10"/>
        <v>4</v>
      </c>
      <c r="I118" s="2" t="str">
        <f t="shared" si="8"/>
        <v>46</v>
      </c>
      <c r="J118" s="10">
        <f t="shared" si="11"/>
        <v>0.1986111111111111</v>
      </c>
      <c r="K118" s="2">
        <f t="shared" si="12"/>
        <v>18</v>
      </c>
      <c r="L118">
        <f t="shared" si="13"/>
        <v>44</v>
      </c>
      <c r="M118" s="10">
        <f t="shared" si="14"/>
        <v>0.78055555555555556</v>
      </c>
      <c r="N118" s="12">
        <f t="shared" si="15"/>
        <v>13.966666666666669</v>
      </c>
    </row>
    <row r="119" spans="1:14">
      <c r="A119" s="2">
        <f t="shared" si="9"/>
        <v>128</v>
      </c>
      <c r="B119" s="2">
        <v>118</v>
      </c>
      <c r="C119" s="13">
        <v>40661</v>
      </c>
      <c r="D119" s="14">
        <v>41026</v>
      </c>
      <c r="E119" s="2">
        <v>444</v>
      </c>
      <c r="F119" s="2">
        <v>1845</v>
      </c>
      <c r="G119" s="2">
        <v>1</v>
      </c>
      <c r="H119" s="2">
        <f t="shared" si="10"/>
        <v>4</v>
      </c>
      <c r="I119" s="2" t="str">
        <f t="shared" si="8"/>
        <v>44</v>
      </c>
      <c r="J119" s="10">
        <f t="shared" si="11"/>
        <v>0.19722222222222222</v>
      </c>
      <c r="K119" s="2">
        <f t="shared" si="12"/>
        <v>18</v>
      </c>
      <c r="L119">
        <f t="shared" si="13"/>
        <v>45</v>
      </c>
      <c r="M119" s="10">
        <f t="shared" si="14"/>
        <v>0.78125</v>
      </c>
      <c r="N119" s="12">
        <f t="shared" si="15"/>
        <v>14.016666666666667</v>
      </c>
    </row>
    <row r="120" spans="1:14">
      <c r="A120" s="2">
        <f t="shared" si="9"/>
        <v>129</v>
      </c>
      <c r="B120" s="2">
        <v>119</v>
      </c>
      <c r="C120" s="13">
        <v>40662</v>
      </c>
      <c r="D120" s="14">
        <v>41027</v>
      </c>
      <c r="E120" s="2">
        <v>443</v>
      </c>
      <c r="F120" s="2">
        <v>1846</v>
      </c>
      <c r="G120" s="2">
        <v>1</v>
      </c>
      <c r="H120" s="2">
        <f t="shared" si="10"/>
        <v>4</v>
      </c>
      <c r="I120" s="2" t="str">
        <f t="shared" si="8"/>
        <v>43</v>
      </c>
      <c r="J120" s="10">
        <f t="shared" si="11"/>
        <v>0.19652777777777777</v>
      </c>
      <c r="K120" s="2">
        <f t="shared" si="12"/>
        <v>18</v>
      </c>
      <c r="L120">
        <f t="shared" si="13"/>
        <v>46</v>
      </c>
      <c r="M120" s="10">
        <f t="shared" si="14"/>
        <v>0.78194444444444444</v>
      </c>
      <c r="N120" s="12">
        <f t="shared" si="15"/>
        <v>14.05</v>
      </c>
    </row>
    <row r="121" spans="1:14">
      <c r="A121" s="2">
        <f t="shared" si="9"/>
        <v>130</v>
      </c>
      <c r="B121" s="2">
        <v>120</v>
      </c>
      <c r="C121" s="13">
        <v>40663</v>
      </c>
      <c r="D121" s="14">
        <v>41028</v>
      </c>
      <c r="E121" s="2">
        <v>441</v>
      </c>
      <c r="F121" s="2">
        <v>1848</v>
      </c>
      <c r="G121" s="2">
        <v>1</v>
      </c>
      <c r="H121" s="2">
        <f t="shared" si="10"/>
        <v>4</v>
      </c>
      <c r="I121" s="2" t="str">
        <f t="shared" si="8"/>
        <v>41</v>
      </c>
      <c r="J121" s="10">
        <f t="shared" si="11"/>
        <v>0.19513888888888889</v>
      </c>
      <c r="K121" s="2">
        <f t="shared" si="12"/>
        <v>18</v>
      </c>
      <c r="L121">
        <f t="shared" si="13"/>
        <v>48</v>
      </c>
      <c r="M121" s="10">
        <f t="shared" si="14"/>
        <v>0.78333333333333333</v>
      </c>
      <c r="N121" s="12">
        <f t="shared" si="15"/>
        <v>14.116666666666667</v>
      </c>
    </row>
    <row r="122" spans="1:14">
      <c r="A122" s="2">
        <f t="shared" si="9"/>
        <v>131</v>
      </c>
      <c r="B122" s="2">
        <v>121</v>
      </c>
      <c r="C122" s="13">
        <v>40664</v>
      </c>
      <c r="D122" s="14">
        <v>41029</v>
      </c>
      <c r="E122" s="2">
        <v>440</v>
      </c>
      <c r="F122" s="2">
        <v>1849</v>
      </c>
      <c r="G122" s="2">
        <v>1</v>
      </c>
      <c r="H122" s="2">
        <f t="shared" si="10"/>
        <v>4</v>
      </c>
      <c r="I122" s="2" t="str">
        <f t="shared" si="8"/>
        <v>40</v>
      </c>
      <c r="J122" s="10">
        <f t="shared" si="11"/>
        <v>0.19444444444444445</v>
      </c>
      <c r="K122" s="2">
        <f t="shared" si="12"/>
        <v>18</v>
      </c>
      <c r="L122">
        <f t="shared" si="13"/>
        <v>49</v>
      </c>
      <c r="M122" s="10">
        <f t="shared" si="14"/>
        <v>0.78402777777777777</v>
      </c>
      <c r="N122" s="12">
        <f t="shared" si="15"/>
        <v>14.15</v>
      </c>
    </row>
    <row r="123" spans="1:14">
      <c r="A123" s="2">
        <f t="shared" si="9"/>
        <v>132</v>
      </c>
      <c r="B123" s="2">
        <v>122</v>
      </c>
      <c r="C123" s="13">
        <v>40665</v>
      </c>
      <c r="D123" s="14">
        <v>41030</v>
      </c>
      <c r="E123" s="2">
        <v>438</v>
      </c>
      <c r="F123" s="2">
        <v>1850</v>
      </c>
      <c r="G123" s="2">
        <v>1</v>
      </c>
      <c r="H123" s="2">
        <f t="shared" si="10"/>
        <v>4</v>
      </c>
      <c r="I123" s="2" t="str">
        <f t="shared" si="8"/>
        <v>38</v>
      </c>
      <c r="J123" s="10">
        <f t="shared" si="11"/>
        <v>0.19305555555555556</v>
      </c>
      <c r="K123" s="2">
        <f t="shared" si="12"/>
        <v>18</v>
      </c>
      <c r="L123">
        <f t="shared" si="13"/>
        <v>50</v>
      </c>
      <c r="M123" s="10">
        <f t="shared" si="14"/>
        <v>0.78472222222222221</v>
      </c>
      <c r="N123" s="12">
        <f t="shared" si="15"/>
        <v>14.2</v>
      </c>
    </row>
    <row r="124" spans="1:14">
      <c r="A124" s="2">
        <f t="shared" si="9"/>
        <v>133</v>
      </c>
      <c r="B124" s="2">
        <v>123</v>
      </c>
      <c r="C124" s="13">
        <v>40666</v>
      </c>
      <c r="D124" s="14">
        <v>41031</v>
      </c>
      <c r="E124" s="2">
        <v>437</v>
      </c>
      <c r="F124" s="2">
        <v>1851</v>
      </c>
      <c r="G124" s="2">
        <v>1</v>
      </c>
      <c r="H124" s="2">
        <f t="shared" si="10"/>
        <v>4</v>
      </c>
      <c r="I124" s="2" t="str">
        <f t="shared" si="8"/>
        <v>37</v>
      </c>
      <c r="J124" s="10">
        <f t="shared" si="11"/>
        <v>0.19236111111111112</v>
      </c>
      <c r="K124" s="2">
        <f t="shared" si="12"/>
        <v>18</v>
      </c>
      <c r="L124">
        <f t="shared" si="13"/>
        <v>51</v>
      </c>
      <c r="M124" s="10">
        <f t="shared" si="14"/>
        <v>0.78541666666666665</v>
      </c>
      <c r="N124" s="12">
        <f t="shared" si="15"/>
        <v>14.233333333333334</v>
      </c>
    </row>
    <row r="125" spans="1:14">
      <c r="A125" s="2">
        <f t="shared" si="9"/>
        <v>134</v>
      </c>
      <c r="B125" s="2">
        <v>124</v>
      </c>
      <c r="C125" s="13">
        <v>40667</v>
      </c>
      <c r="D125" s="14">
        <v>41032</v>
      </c>
      <c r="E125" s="2">
        <v>436</v>
      </c>
      <c r="F125" s="2">
        <v>1852</v>
      </c>
      <c r="G125" s="2">
        <v>1</v>
      </c>
      <c r="H125" s="2">
        <f t="shared" si="10"/>
        <v>4</v>
      </c>
      <c r="I125" s="2" t="str">
        <f t="shared" si="8"/>
        <v>36</v>
      </c>
      <c r="J125" s="10">
        <f t="shared" si="11"/>
        <v>0.19166666666666668</v>
      </c>
      <c r="K125" s="2">
        <f t="shared" si="12"/>
        <v>18</v>
      </c>
      <c r="L125">
        <f t="shared" si="13"/>
        <v>52</v>
      </c>
      <c r="M125" s="10">
        <f t="shared" si="14"/>
        <v>0.78611111111111109</v>
      </c>
      <c r="N125" s="12">
        <f t="shared" si="15"/>
        <v>14.266666666666666</v>
      </c>
    </row>
    <row r="126" spans="1:14">
      <c r="A126" s="2">
        <f t="shared" si="9"/>
        <v>135</v>
      </c>
      <c r="B126" s="2">
        <v>125</v>
      </c>
      <c r="C126" s="13">
        <v>40668</v>
      </c>
      <c r="D126" s="14">
        <v>41033</v>
      </c>
      <c r="E126" s="2">
        <v>434</v>
      </c>
      <c r="F126" s="2">
        <v>1854</v>
      </c>
      <c r="G126" s="2">
        <v>1</v>
      </c>
      <c r="H126" s="2">
        <f t="shared" si="10"/>
        <v>4</v>
      </c>
      <c r="I126" s="2" t="str">
        <f t="shared" si="8"/>
        <v>34</v>
      </c>
      <c r="J126" s="10">
        <f t="shared" si="11"/>
        <v>0.19027777777777777</v>
      </c>
      <c r="K126" s="2">
        <f t="shared" si="12"/>
        <v>18</v>
      </c>
      <c r="L126">
        <f t="shared" si="13"/>
        <v>54</v>
      </c>
      <c r="M126" s="10">
        <f t="shared" si="14"/>
        <v>0.78749999999999998</v>
      </c>
      <c r="N126" s="12">
        <f t="shared" si="15"/>
        <v>14.333333333333332</v>
      </c>
    </row>
    <row r="127" spans="1:14">
      <c r="A127" s="2">
        <f t="shared" si="9"/>
        <v>136</v>
      </c>
      <c r="B127" s="2">
        <v>126</v>
      </c>
      <c r="C127" s="13">
        <v>40669</v>
      </c>
      <c r="D127" s="14">
        <v>41034</v>
      </c>
      <c r="E127" s="2">
        <v>433</v>
      </c>
      <c r="F127" s="2">
        <v>1855</v>
      </c>
      <c r="G127" s="2">
        <v>1</v>
      </c>
      <c r="H127" s="2">
        <f t="shared" si="10"/>
        <v>4</v>
      </c>
      <c r="I127" s="2" t="str">
        <f t="shared" si="8"/>
        <v>33</v>
      </c>
      <c r="J127" s="10">
        <f t="shared" si="11"/>
        <v>0.18958333333333333</v>
      </c>
      <c r="K127" s="2">
        <f t="shared" si="12"/>
        <v>18</v>
      </c>
      <c r="L127">
        <f t="shared" si="13"/>
        <v>55</v>
      </c>
      <c r="M127" s="10">
        <f t="shared" si="14"/>
        <v>0.78819444444444442</v>
      </c>
      <c r="N127" s="12">
        <f t="shared" si="15"/>
        <v>14.366666666666667</v>
      </c>
    </row>
    <row r="128" spans="1:14">
      <c r="A128" s="2">
        <f t="shared" si="9"/>
        <v>137</v>
      </c>
      <c r="B128" s="2">
        <v>127</v>
      </c>
      <c r="C128" s="13">
        <v>40670</v>
      </c>
      <c r="D128" s="14">
        <v>41035</v>
      </c>
      <c r="E128" s="2">
        <v>432</v>
      </c>
      <c r="F128" s="2">
        <v>1856</v>
      </c>
      <c r="G128" s="2">
        <v>1</v>
      </c>
      <c r="H128" s="2">
        <f t="shared" si="10"/>
        <v>4</v>
      </c>
      <c r="I128" s="2" t="str">
        <f t="shared" si="8"/>
        <v>32</v>
      </c>
      <c r="J128" s="10">
        <f t="shared" si="11"/>
        <v>0.18888888888888888</v>
      </c>
      <c r="K128" s="2">
        <f t="shared" si="12"/>
        <v>18</v>
      </c>
      <c r="L128">
        <f t="shared" si="13"/>
        <v>56</v>
      </c>
      <c r="M128" s="10">
        <f t="shared" si="14"/>
        <v>0.78888888888888886</v>
      </c>
      <c r="N128" s="12">
        <f t="shared" si="15"/>
        <v>14.399999999999999</v>
      </c>
    </row>
    <row r="129" spans="1:14">
      <c r="A129" s="2">
        <f t="shared" si="9"/>
        <v>138</v>
      </c>
      <c r="B129" s="2">
        <v>128</v>
      </c>
      <c r="C129" s="13">
        <v>40671</v>
      </c>
      <c r="D129" s="14">
        <v>41036</v>
      </c>
      <c r="E129" s="2">
        <v>430</v>
      </c>
      <c r="F129" s="2">
        <v>1857</v>
      </c>
      <c r="G129" s="2">
        <v>1</v>
      </c>
      <c r="H129" s="2">
        <f t="shared" si="10"/>
        <v>4</v>
      </c>
      <c r="I129" s="2" t="str">
        <f t="shared" si="8"/>
        <v>30</v>
      </c>
      <c r="J129" s="10">
        <f t="shared" si="11"/>
        <v>0.1875</v>
      </c>
      <c r="K129" s="2">
        <f t="shared" si="12"/>
        <v>18</v>
      </c>
      <c r="L129">
        <f t="shared" si="13"/>
        <v>57</v>
      </c>
      <c r="M129" s="10">
        <f t="shared" si="14"/>
        <v>0.7895833333333333</v>
      </c>
      <c r="N129" s="12">
        <f t="shared" si="15"/>
        <v>14.45</v>
      </c>
    </row>
    <row r="130" spans="1:14">
      <c r="A130" s="2">
        <f t="shared" si="9"/>
        <v>139</v>
      </c>
      <c r="B130" s="2">
        <v>129</v>
      </c>
      <c r="C130" s="13">
        <v>40672</v>
      </c>
      <c r="D130" s="14">
        <v>41037</v>
      </c>
      <c r="E130" s="2">
        <v>429</v>
      </c>
      <c r="F130" s="2">
        <v>1858</v>
      </c>
      <c r="G130" s="2">
        <v>1</v>
      </c>
      <c r="H130" s="2">
        <f t="shared" si="10"/>
        <v>4</v>
      </c>
      <c r="I130" s="2" t="str">
        <f t="shared" ref="I130:I193" si="16">RIGHT(E130,2)</f>
        <v>29</v>
      </c>
      <c r="J130" s="10">
        <f t="shared" si="11"/>
        <v>0.18680555555555556</v>
      </c>
      <c r="K130" s="2">
        <f t="shared" si="12"/>
        <v>18</v>
      </c>
      <c r="L130">
        <f t="shared" si="13"/>
        <v>58</v>
      </c>
      <c r="M130" s="10">
        <f t="shared" si="14"/>
        <v>0.79027777777777775</v>
      </c>
      <c r="N130" s="12">
        <f t="shared" si="15"/>
        <v>14.483333333333333</v>
      </c>
    </row>
    <row r="131" spans="1:14">
      <c r="A131" s="2">
        <f t="shared" ref="A131:A194" si="17">B131+10</f>
        <v>140</v>
      </c>
      <c r="B131" s="2">
        <v>130</v>
      </c>
      <c r="C131" s="13">
        <v>40673</v>
      </c>
      <c r="D131" s="14">
        <v>41038</v>
      </c>
      <c r="E131" s="2">
        <v>428</v>
      </c>
      <c r="F131" s="2">
        <v>1859</v>
      </c>
      <c r="G131" s="2">
        <v>1</v>
      </c>
      <c r="H131" s="2">
        <f t="shared" ref="H131:H194" si="18">VALUE(LEFT(E131,1))</f>
        <v>4</v>
      </c>
      <c r="I131" s="2" t="str">
        <f t="shared" si="16"/>
        <v>28</v>
      </c>
      <c r="J131" s="10">
        <f t="shared" ref="J131:J194" si="19">TIME(H131,I131,0)</f>
        <v>0.18611111111111112</v>
      </c>
      <c r="K131" s="2">
        <f t="shared" ref="K131:K194" si="20">VALUE(LEFT(F131,2))</f>
        <v>18</v>
      </c>
      <c r="L131">
        <f t="shared" ref="L131:L194" si="21">VALUE(RIGHT(F131,2))</f>
        <v>59</v>
      </c>
      <c r="M131" s="10">
        <f t="shared" ref="M131:M194" si="22">TIME(K131,L131,0)</f>
        <v>0.79097222222222219</v>
      </c>
      <c r="N131" s="12">
        <f t="shared" ref="N131:N194" si="23">(M131-J131)*24</f>
        <v>14.516666666666666</v>
      </c>
    </row>
    <row r="132" spans="1:14">
      <c r="A132" s="2">
        <f t="shared" si="17"/>
        <v>141</v>
      </c>
      <c r="B132" s="2">
        <v>131</v>
      </c>
      <c r="C132" s="13">
        <v>40674</v>
      </c>
      <c r="D132" s="14">
        <v>41039</v>
      </c>
      <c r="E132" s="2">
        <v>427</v>
      </c>
      <c r="F132" s="2">
        <v>1900</v>
      </c>
      <c r="G132" s="2">
        <v>1</v>
      </c>
      <c r="H132" s="2">
        <f t="shared" si="18"/>
        <v>4</v>
      </c>
      <c r="I132" s="2" t="str">
        <f t="shared" si="16"/>
        <v>27</v>
      </c>
      <c r="J132" s="10">
        <f t="shared" si="19"/>
        <v>0.18541666666666667</v>
      </c>
      <c r="K132" s="2">
        <f t="shared" si="20"/>
        <v>19</v>
      </c>
      <c r="L132">
        <f t="shared" si="21"/>
        <v>0</v>
      </c>
      <c r="M132" s="10">
        <f t="shared" si="22"/>
        <v>0.79166666666666663</v>
      </c>
      <c r="N132" s="12">
        <f t="shared" si="23"/>
        <v>14.549999999999999</v>
      </c>
    </row>
    <row r="133" spans="1:14">
      <c r="A133" s="2">
        <f t="shared" si="17"/>
        <v>142</v>
      </c>
      <c r="B133" s="2">
        <v>132</v>
      </c>
      <c r="C133" s="13">
        <v>40675</v>
      </c>
      <c r="D133" s="14">
        <v>41040</v>
      </c>
      <c r="E133" s="2">
        <v>425</v>
      </c>
      <c r="F133" s="2">
        <v>1902</v>
      </c>
      <c r="G133" s="2">
        <v>1</v>
      </c>
      <c r="H133" s="2">
        <f t="shared" si="18"/>
        <v>4</v>
      </c>
      <c r="I133" s="2" t="str">
        <f t="shared" si="16"/>
        <v>25</v>
      </c>
      <c r="J133" s="10">
        <f t="shared" si="19"/>
        <v>0.18402777777777779</v>
      </c>
      <c r="K133" s="2">
        <f t="shared" si="20"/>
        <v>19</v>
      </c>
      <c r="L133">
        <f t="shared" si="21"/>
        <v>2</v>
      </c>
      <c r="M133" s="10">
        <f t="shared" si="22"/>
        <v>0.79305555555555551</v>
      </c>
      <c r="N133" s="12">
        <f t="shared" si="23"/>
        <v>14.616666666666665</v>
      </c>
    </row>
    <row r="134" spans="1:14">
      <c r="A134" s="2">
        <f t="shared" si="17"/>
        <v>143</v>
      </c>
      <c r="B134" s="2">
        <v>133</v>
      </c>
      <c r="C134" s="13">
        <v>40676</v>
      </c>
      <c r="D134" s="14">
        <v>41041</v>
      </c>
      <c r="E134" s="2">
        <v>424</v>
      </c>
      <c r="F134" s="2">
        <v>1903</v>
      </c>
      <c r="G134" s="2">
        <v>1</v>
      </c>
      <c r="H134" s="2">
        <f t="shared" si="18"/>
        <v>4</v>
      </c>
      <c r="I134" s="2" t="str">
        <f t="shared" si="16"/>
        <v>24</v>
      </c>
      <c r="J134" s="10">
        <f t="shared" si="19"/>
        <v>0.18333333333333332</v>
      </c>
      <c r="K134" s="2">
        <f t="shared" si="20"/>
        <v>19</v>
      </c>
      <c r="L134">
        <f t="shared" si="21"/>
        <v>3</v>
      </c>
      <c r="M134" s="10">
        <f t="shared" si="22"/>
        <v>0.79374999999999996</v>
      </c>
      <c r="N134" s="12">
        <f t="shared" si="23"/>
        <v>14.649999999999999</v>
      </c>
    </row>
    <row r="135" spans="1:14">
      <c r="A135" s="2">
        <f t="shared" si="17"/>
        <v>144</v>
      </c>
      <c r="B135" s="2">
        <v>134</v>
      </c>
      <c r="C135" s="13">
        <v>40677</v>
      </c>
      <c r="D135" s="14">
        <v>41042</v>
      </c>
      <c r="E135" s="2">
        <v>423</v>
      </c>
      <c r="F135" s="2">
        <v>1904</v>
      </c>
      <c r="G135" s="2">
        <v>1</v>
      </c>
      <c r="H135" s="2">
        <f t="shared" si="18"/>
        <v>4</v>
      </c>
      <c r="I135" s="2" t="str">
        <f t="shared" si="16"/>
        <v>23</v>
      </c>
      <c r="J135" s="10">
        <f t="shared" si="19"/>
        <v>0.18263888888888888</v>
      </c>
      <c r="K135" s="2">
        <f t="shared" si="20"/>
        <v>19</v>
      </c>
      <c r="L135">
        <f t="shared" si="21"/>
        <v>4</v>
      </c>
      <c r="M135" s="10">
        <f t="shared" si="22"/>
        <v>0.7944444444444444</v>
      </c>
      <c r="N135" s="12">
        <f t="shared" si="23"/>
        <v>14.683333333333332</v>
      </c>
    </row>
    <row r="136" spans="1:14">
      <c r="A136" s="2">
        <f t="shared" si="17"/>
        <v>145</v>
      </c>
      <c r="B136" s="2">
        <v>135</v>
      </c>
      <c r="C136" s="13">
        <v>40678</v>
      </c>
      <c r="D136" s="14">
        <v>41043</v>
      </c>
      <c r="E136" s="2">
        <v>422</v>
      </c>
      <c r="F136" s="2">
        <v>1905</v>
      </c>
      <c r="G136" s="2">
        <v>1</v>
      </c>
      <c r="H136" s="2">
        <f t="shared" si="18"/>
        <v>4</v>
      </c>
      <c r="I136" s="2" t="str">
        <f t="shared" si="16"/>
        <v>22</v>
      </c>
      <c r="J136" s="10">
        <f t="shared" si="19"/>
        <v>0.18194444444444444</v>
      </c>
      <c r="K136" s="2">
        <f t="shared" si="20"/>
        <v>19</v>
      </c>
      <c r="L136">
        <f t="shared" si="21"/>
        <v>5</v>
      </c>
      <c r="M136" s="10">
        <f t="shared" si="22"/>
        <v>0.79513888888888884</v>
      </c>
      <c r="N136" s="12">
        <f t="shared" si="23"/>
        <v>14.716666666666665</v>
      </c>
    </row>
    <row r="137" spans="1:14">
      <c r="A137" s="2">
        <f t="shared" si="17"/>
        <v>146</v>
      </c>
      <c r="B137" s="2">
        <v>136</v>
      </c>
      <c r="C137" s="13">
        <v>40679</v>
      </c>
      <c r="D137" s="14">
        <v>41044</v>
      </c>
      <c r="E137" s="2">
        <v>421</v>
      </c>
      <c r="F137" s="2">
        <v>1906</v>
      </c>
      <c r="G137" s="2">
        <v>1</v>
      </c>
      <c r="H137" s="2">
        <f t="shared" si="18"/>
        <v>4</v>
      </c>
      <c r="I137" s="2" t="str">
        <f t="shared" si="16"/>
        <v>21</v>
      </c>
      <c r="J137" s="10">
        <f t="shared" si="19"/>
        <v>0.18124999999999999</v>
      </c>
      <c r="K137" s="2">
        <f t="shared" si="20"/>
        <v>19</v>
      </c>
      <c r="L137">
        <f t="shared" si="21"/>
        <v>6</v>
      </c>
      <c r="M137" s="10">
        <f t="shared" si="22"/>
        <v>0.79583333333333328</v>
      </c>
      <c r="N137" s="12">
        <f t="shared" si="23"/>
        <v>14.749999999999998</v>
      </c>
    </row>
    <row r="138" spans="1:14">
      <c r="A138" s="2">
        <f t="shared" si="17"/>
        <v>147</v>
      </c>
      <c r="B138" s="2">
        <v>137</v>
      </c>
      <c r="C138" s="13">
        <v>40680</v>
      </c>
      <c r="D138" s="14">
        <v>41045</v>
      </c>
      <c r="E138" s="2">
        <v>420</v>
      </c>
      <c r="F138" s="2">
        <v>1907</v>
      </c>
      <c r="G138" s="2">
        <v>1</v>
      </c>
      <c r="H138" s="2">
        <f t="shared" si="18"/>
        <v>4</v>
      </c>
      <c r="I138" s="2" t="str">
        <f t="shared" si="16"/>
        <v>20</v>
      </c>
      <c r="J138" s="10">
        <f t="shared" si="19"/>
        <v>0.18055555555555555</v>
      </c>
      <c r="K138" s="2">
        <f t="shared" si="20"/>
        <v>19</v>
      </c>
      <c r="L138">
        <f t="shared" si="21"/>
        <v>7</v>
      </c>
      <c r="M138" s="10">
        <f t="shared" si="22"/>
        <v>0.79652777777777772</v>
      </c>
      <c r="N138" s="12">
        <f t="shared" si="23"/>
        <v>14.783333333333331</v>
      </c>
    </row>
    <row r="139" spans="1:14">
      <c r="A139" s="2">
        <f t="shared" si="17"/>
        <v>148</v>
      </c>
      <c r="B139" s="2">
        <v>138</v>
      </c>
      <c r="C139" s="13">
        <v>40681</v>
      </c>
      <c r="D139" s="14">
        <v>41046</v>
      </c>
      <c r="E139" s="2">
        <v>419</v>
      </c>
      <c r="F139" s="2">
        <v>1908</v>
      </c>
      <c r="G139" s="2">
        <v>1</v>
      </c>
      <c r="H139" s="2">
        <f t="shared" si="18"/>
        <v>4</v>
      </c>
      <c r="I139" s="2" t="str">
        <f t="shared" si="16"/>
        <v>19</v>
      </c>
      <c r="J139" s="10">
        <f t="shared" si="19"/>
        <v>0.17986111111111111</v>
      </c>
      <c r="K139" s="2">
        <f t="shared" si="20"/>
        <v>19</v>
      </c>
      <c r="L139">
        <f t="shared" si="21"/>
        <v>8</v>
      </c>
      <c r="M139" s="10">
        <f t="shared" si="22"/>
        <v>0.79722222222222228</v>
      </c>
      <c r="N139" s="12">
        <f t="shared" si="23"/>
        <v>14.816666666666666</v>
      </c>
    </row>
    <row r="140" spans="1:14">
      <c r="A140" s="2">
        <f t="shared" si="17"/>
        <v>149</v>
      </c>
      <c r="B140" s="2">
        <v>139</v>
      </c>
      <c r="C140" s="13">
        <v>40682</v>
      </c>
      <c r="D140" s="14">
        <v>41047</v>
      </c>
      <c r="E140" s="2">
        <v>418</v>
      </c>
      <c r="F140" s="2">
        <v>1909</v>
      </c>
      <c r="G140" s="2">
        <v>1</v>
      </c>
      <c r="H140" s="2">
        <f t="shared" si="18"/>
        <v>4</v>
      </c>
      <c r="I140" s="2" t="str">
        <f t="shared" si="16"/>
        <v>18</v>
      </c>
      <c r="J140" s="10">
        <f t="shared" si="19"/>
        <v>0.17916666666666667</v>
      </c>
      <c r="K140" s="2">
        <f t="shared" si="20"/>
        <v>19</v>
      </c>
      <c r="L140">
        <f t="shared" si="21"/>
        <v>9</v>
      </c>
      <c r="M140" s="10">
        <f t="shared" si="22"/>
        <v>0.79791666666666672</v>
      </c>
      <c r="N140" s="12">
        <f t="shared" si="23"/>
        <v>14.850000000000001</v>
      </c>
    </row>
    <row r="141" spans="1:14">
      <c r="A141" s="2">
        <f t="shared" si="17"/>
        <v>150</v>
      </c>
      <c r="B141" s="2">
        <v>140</v>
      </c>
      <c r="C141" s="13">
        <v>40683</v>
      </c>
      <c r="D141" s="14">
        <v>41048</v>
      </c>
      <c r="E141" s="2">
        <v>417</v>
      </c>
      <c r="F141" s="2">
        <v>1910</v>
      </c>
      <c r="G141" s="2">
        <v>1</v>
      </c>
      <c r="H141" s="2">
        <f t="shared" si="18"/>
        <v>4</v>
      </c>
      <c r="I141" s="2" t="str">
        <f t="shared" si="16"/>
        <v>17</v>
      </c>
      <c r="J141" s="10">
        <f t="shared" si="19"/>
        <v>0.17847222222222223</v>
      </c>
      <c r="K141" s="2">
        <f t="shared" si="20"/>
        <v>19</v>
      </c>
      <c r="L141">
        <f t="shared" si="21"/>
        <v>10</v>
      </c>
      <c r="M141" s="10">
        <f t="shared" si="22"/>
        <v>0.79861111111111116</v>
      </c>
      <c r="N141" s="12">
        <f t="shared" si="23"/>
        <v>14.883333333333333</v>
      </c>
    </row>
    <row r="142" spans="1:14">
      <c r="A142" s="2">
        <f t="shared" si="17"/>
        <v>151</v>
      </c>
      <c r="B142" s="2">
        <v>141</v>
      </c>
      <c r="C142" s="13">
        <v>40684</v>
      </c>
      <c r="D142" s="14">
        <v>41049</v>
      </c>
      <c r="E142" s="2">
        <v>416</v>
      </c>
      <c r="F142" s="2">
        <v>1911</v>
      </c>
      <c r="G142" s="2">
        <v>1</v>
      </c>
      <c r="H142" s="2">
        <f t="shared" si="18"/>
        <v>4</v>
      </c>
      <c r="I142" s="2" t="str">
        <f t="shared" si="16"/>
        <v>16</v>
      </c>
      <c r="J142" s="10">
        <f t="shared" si="19"/>
        <v>0.17777777777777778</v>
      </c>
      <c r="K142" s="2">
        <f t="shared" si="20"/>
        <v>19</v>
      </c>
      <c r="L142">
        <f t="shared" si="21"/>
        <v>11</v>
      </c>
      <c r="M142" s="10">
        <f t="shared" si="22"/>
        <v>0.7993055555555556</v>
      </c>
      <c r="N142" s="12">
        <f t="shared" si="23"/>
        <v>14.916666666666668</v>
      </c>
    </row>
    <row r="143" spans="1:14">
      <c r="A143" s="2">
        <f t="shared" si="17"/>
        <v>152</v>
      </c>
      <c r="B143" s="2">
        <v>142</v>
      </c>
      <c r="C143" s="13">
        <v>40685</v>
      </c>
      <c r="D143" s="14">
        <v>41050</v>
      </c>
      <c r="E143" s="2">
        <v>415</v>
      </c>
      <c r="F143" s="2">
        <v>1912</v>
      </c>
      <c r="G143" s="2">
        <v>1</v>
      </c>
      <c r="H143" s="2">
        <f t="shared" si="18"/>
        <v>4</v>
      </c>
      <c r="I143" s="2" t="str">
        <f t="shared" si="16"/>
        <v>15</v>
      </c>
      <c r="J143" s="10">
        <f t="shared" si="19"/>
        <v>0.17708333333333334</v>
      </c>
      <c r="K143" s="2">
        <f t="shared" si="20"/>
        <v>19</v>
      </c>
      <c r="L143">
        <f t="shared" si="21"/>
        <v>12</v>
      </c>
      <c r="M143" s="10">
        <f t="shared" si="22"/>
        <v>0.8</v>
      </c>
      <c r="N143" s="12">
        <f t="shared" si="23"/>
        <v>14.95</v>
      </c>
    </row>
    <row r="144" spans="1:14">
      <c r="A144" s="2">
        <f t="shared" si="17"/>
        <v>153</v>
      </c>
      <c r="B144" s="2">
        <v>143</v>
      </c>
      <c r="C144" s="13">
        <v>40686</v>
      </c>
      <c r="D144" s="14">
        <v>41051</v>
      </c>
      <c r="E144" s="2">
        <v>414</v>
      </c>
      <c r="F144" s="2">
        <v>1913</v>
      </c>
      <c r="G144" s="2">
        <v>1</v>
      </c>
      <c r="H144" s="2">
        <f t="shared" si="18"/>
        <v>4</v>
      </c>
      <c r="I144" s="2" t="str">
        <f t="shared" si="16"/>
        <v>14</v>
      </c>
      <c r="J144" s="10">
        <f t="shared" si="19"/>
        <v>0.1763888888888889</v>
      </c>
      <c r="K144" s="2">
        <f t="shared" si="20"/>
        <v>19</v>
      </c>
      <c r="L144">
        <f t="shared" si="21"/>
        <v>13</v>
      </c>
      <c r="M144" s="10">
        <f t="shared" si="22"/>
        <v>0.80069444444444449</v>
      </c>
      <c r="N144" s="12">
        <f t="shared" si="23"/>
        <v>14.983333333333334</v>
      </c>
    </row>
    <row r="145" spans="1:14">
      <c r="A145" s="2">
        <f t="shared" si="17"/>
        <v>154</v>
      </c>
      <c r="B145" s="2">
        <v>144</v>
      </c>
      <c r="C145" s="13">
        <v>40687</v>
      </c>
      <c r="D145" s="14">
        <v>41052</v>
      </c>
      <c r="E145" s="2">
        <v>413</v>
      </c>
      <c r="F145" s="2">
        <v>1914</v>
      </c>
      <c r="G145" s="2">
        <v>1</v>
      </c>
      <c r="H145" s="2">
        <f t="shared" si="18"/>
        <v>4</v>
      </c>
      <c r="I145" s="2" t="str">
        <f t="shared" si="16"/>
        <v>13</v>
      </c>
      <c r="J145" s="10">
        <f t="shared" si="19"/>
        <v>0.17569444444444443</v>
      </c>
      <c r="K145" s="2">
        <f t="shared" si="20"/>
        <v>19</v>
      </c>
      <c r="L145">
        <f t="shared" si="21"/>
        <v>14</v>
      </c>
      <c r="M145" s="10">
        <f t="shared" si="22"/>
        <v>0.80138888888888893</v>
      </c>
      <c r="N145" s="12">
        <f t="shared" si="23"/>
        <v>15.016666666666669</v>
      </c>
    </row>
    <row r="146" spans="1:14">
      <c r="A146" s="2">
        <f t="shared" si="17"/>
        <v>155</v>
      </c>
      <c r="B146" s="2">
        <v>145</v>
      </c>
      <c r="C146" s="13">
        <v>40688</v>
      </c>
      <c r="D146" s="14">
        <v>41053</v>
      </c>
      <c r="E146" s="2">
        <v>413</v>
      </c>
      <c r="F146" s="2">
        <v>1915</v>
      </c>
      <c r="G146" s="2">
        <v>1</v>
      </c>
      <c r="H146" s="2">
        <f t="shared" si="18"/>
        <v>4</v>
      </c>
      <c r="I146" s="2" t="str">
        <f t="shared" si="16"/>
        <v>13</v>
      </c>
      <c r="J146" s="10">
        <f t="shared" si="19"/>
        <v>0.17569444444444443</v>
      </c>
      <c r="K146" s="2">
        <f t="shared" si="20"/>
        <v>19</v>
      </c>
      <c r="L146">
        <f t="shared" si="21"/>
        <v>15</v>
      </c>
      <c r="M146" s="10">
        <f t="shared" si="22"/>
        <v>0.80208333333333337</v>
      </c>
      <c r="N146" s="12">
        <f t="shared" si="23"/>
        <v>15.033333333333333</v>
      </c>
    </row>
    <row r="147" spans="1:14">
      <c r="A147" s="2">
        <f t="shared" si="17"/>
        <v>156</v>
      </c>
      <c r="B147" s="2">
        <v>146</v>
      </c>
      <c r="C147" s="13">
        <v>40689</v>
      </c>
      <c r="D147" s="14">
        <v>41054</v>
      </c>
      <c r="E147" s="2">
        <v>412</v>
      </c>
      <c r="F147" s="2">
        <v>1916</v>
      </c>
      <c r="G147" s="2">
        <v>1</v>
      </c>
      <c r="H147" s="2">
        <f t="shared" si="18"/>
        <v>4</v>
      </c>
      <c r="I147" s="2" t="str">
        <f t="shared" si="16"/>
        <v>12</v>
      </c>
      <c r="J147" s="10">
        <f t="shared" si="19"/>
        <v>0.17499999999999999</v>
      </c>
      <c r="K147" s="2">
        <f t="shared" si="20"/>
        <v>19</v>
      </c>
      <c r="L147">
        <f t="shared" si="21"/>
        <v>16</v>
      </c>
      <c r="M147" s="10">
        <f t="shared" si="22"/>
        <v>0.80277777777777781</v>
      </c>
      <c r="N147" s="12">
        <f t="shared" si="23"/>
        <v>15.066666666666666</v>
      </c>
    </row>
    <row r="148" spans="1:14">
      <c r="A148" s="2">
        <f t="shared" si="17"/>
        <v>157</v>
      </c>
      <c r="B148" s="2">
        <v>147</v>
      </c>
      <c r="C148" s="13">
        <v>40690</v>
      </c>
      <c r="D148" s="14">
        <v>41055</v>
      </c>
      <c r="E148" s="2">
        <v>411</v>
      </c>
      <c r="F148" s="2">
        <v>1917</v>
      </c>
      <c r="G148" s="2">
        <v>1</v>
      </c>
      <c r="H148" s="2">
        <f t="shared" si="18"/>
        <v>4</v>
      </c>
      <c r="I148" s="2" t="str">
        <f t="shared" si="16"/>
        <v>11</v>
      </c>
      <c r="J148" s="10">
        <f t="shared" si="19"/>
        <v>0.17430555555555555</v>
      </c>
      <c r="K148" s="2">
        <f t="shared" si="20"/>
        <v>19</v>
      </c>
      <c r="L148">
        <f t="shared" si="21"/>
        <v>17</v>
      </c>
      <c r="M148" s="10">
        <f t="shared" si="22"/>
        <v>0.80347222222222225</v>
      </c>
      <c r="N148" s="12">
        <f t="shared" si="23"/>
        <v>15.1</v>
      </c>
    </row>
    <row r="149" spans="1:14">
      <c r="A149" s="2">
        <f t="shared" si="17"/>
        <v>158</v>
      </c>
      <c r="B149" s="2">
        <v>148</v>
      </c>
      <c r="C149" s="13">
        <v>40691</v>
      </c>
      <c r="D149" s="14">
        <v>41056</v>
      </c>
      <c r="E149" s="2">
        <v>410</v>
      </c>
      <c r="F149" s="2">
        <v>1918</v>
      </c>
      <c r="G149" s="2">
        <v>1</v>
      </c>
      <c r="H149" s="2">
        <f t="shared" si="18"/>
        <v>4</v>
      </c>
      <c r="I149" s="2" t="str">
        <f t="shared" si="16"/>
        <v>10</v>
      </c>
      <c r="J149" s="10">
        <f t="shared" si="19"/>
        <v>0.1736111111111111</v>
      </c>
      <c r="K149" s="2">
        <f t="shared" si="20"/>
        <v>19</v>
      </c>
      <c r="L149">
        <f t="shared" si="21"/>
        <v>18</v>
      </c>
      <c r="M149" s="10">
        <f t="shared" si="22"/>
        <v>0.8041666666666667</v>
      </c>
      <c r="N149" s="12">
        <f t="shared" si="23"/>
        <v>15.133333333333333</v>
      </c>
    </row>
    <row r="150" spans="1:14">
      <c r="A150" s="2">
        <f t="shared" si="17"/>
        <v>159</v>
      </c>
      <c r="B150" s="2">
        <v>149</v>
      </c>
      <c r="C150" s="13">
        <v>40692</v>
      </c>
      <c r="D150" s="14">
        <v>41057</v>
      </c>
      <c r="E150" s="2">
        <v>410</v>
      </c>
      <c r="F150" s="2">
        <v>1919</v>
      </c>
      <c r="G150" s="2">
        <v>1</v>
      </c>
      <c r="H150" s="2">
        <f t="shared" si="18"/>
        <v>4</v>
      </c>
      <c r="I150" s="2" t="str">
        <f t="shared" si="16"/>
        <v>10</v>
      </c>
      <c r="J150" s="10">
        <f t="shared" si="19"/>
        <v>0.1736111111111111</v>
      </c>
      <c r="K150" s="2">
        <f t="shared" si="20"/>
        <v>19</v>
      </c>
      <c r="L150">
        <f t="shared" si="21"/>
        <v>19</v>
      </c>
      <c r="M150" s="10">
        <f t="shared" si="22"/>
        <v>0.80486111111111114</v>
      </c>
      <c r="N150" s="12">
        <f t="shared" si="23"/>
        <v>15.150000000000002</v>
      </c>
    </row>
    <row r="151" spans="1:14">
      <c r="A151" s="2">
        <f t="shared" si="17"/>
        <v>160</v>
      </c>
      <c r="B151" s="2">
        <v>150</v>
      </c>
      <c r="C151" s="13">
        <v>40693</v>
      </c>
      <c r="D151" s="14">
        <v>41058</v>
      </c>
      <c r="E151" s="2">
        <v>409</v>
      </c>
      <c r="F151" s="2">
        <v>1920</v>
      </c>
      <c r="G151" s="2">
        <v>1</v>
      </c>
      <c r="H151" s="2">
        <f t="shared" si="18"/>
        <v>4</v>
      </c>
      <c r="I151" s="2" t="str">
        <f t="shared" si="16"/>
        <v>09</v>
      </c>
      <c r="J151" s="10">
        <f t="shared" si="19"/>
        <v>0.17291666666666666</v>
      </c>
      <c r="K151" s="2">
        <f t="shared" si="20"/>
        <v>19</v>
      </c>
      <c r="L151">
        <f t="shared" si="21"/>
        <v>20</v>
      </c>
      <c r="M151" s="10">
        <f t="shared" si="22"/>
        <v>0.80555555555555558</v>
      </c>
      <c r="N151" s="12">
        <f t="shared" si="23"/>
        <v>15.183333333333335</v>
      </c>
    </row>
    <row r="152" spans="1:14">
      <c r="A152" s="2">
        <f t="shared" si="17"/>
        <v>161</v>
      </c>
      <c r="B152" s="2">
        <v>151</v>
      </c>
      <c r="C152" s="13">
        <v>40694</v>
      </c>
      <c r="D152" s="14">
        <v>41059</v>
      </c>
      <c r="E152" s="2">
        <v>409</v>
      </c>
      <c r="F152" s="2">
        <v>1921</v>
      </c>
      <c r="G152" s="2">
        <v>1</v>
      </c>
      <c r="H152" s="2">
        <f t="shared" si="18"/>
        <v>4</v>
      </c>
      <c r="I152" s="2" t="str">
        <f t="shared" si="16"/>
        <v>09</v>
      </c>
      <c r="J152" s="10">
        <f t="shared" si="19"/>
        <v>0.17291666666666666</v>
      </c>
      <c r="K152" s="2">
        <f t="shared" si="20"/>
        <v>19</v>
      </c>
      <c r="L152">
        <f t="shared" si="21"/>
        <v>21</v>
      </c>
      <c r="M152" s="10">
        <f t="shared" si="22"/>
        <v>0.80625000000000002</v>
      </c>
      <c r="N152" s="12">
        <f t="shared" si="23"/>
        <v>15.2</v>
      </c>
    </row>
    <row r="153" spans="1:14">
      <c r="A153" s="2">
        <f t="shared" si="17"/>
        <v>162</v>
      </c>
      <c r="B153" s="2">
        <v>152</v>
      </c>
      <c r="C153" s="13">
        <v>40695</v>
      </c>
      <c r="D153" s="14">
        <v>41060</v>
      </c>
      <c r="E153" s="2">
        <v>408</v>
      </c>
      <c r="F153" s="2">
        <v>1921</v>
      </c>
      <c r="G153" s="2">
        <v>1</v>
      </c>
      <c r="H153" s="2">
        <f t="shared" si="18"/>
        <v>4</v>
      </c>
      <c r="I153" s="2" t="str">
        <f t="shared" si="16"/>
        <v>08</v>
      </c>
      <c r="J153" s="10">
        <f t="shared" si="19"/>
        <v>0.17222222222222222</v>
      </c>
      <c r="K153" s="2">
        <f t="shared" si="20"/>
        <v>19</v>
      </c>
      <c r="L153">
        <f t="shared" si="21"/>
        <v>21</v>
      </c>
      <c r="M153" s="10">
        <f t="shared" si="22"/>
        <v>0.80625000000000002</v>
      </c>
      <c r="N153" s="12">
        <f t="shared" si="23"/>
        <v>15.216666666666669</v>
      </c>
    </row>
    <row r="154" spans="1:14">
      <c r="A154" s="2">
        <f t="shared" si="17"/>
        <v>163</v>
      </c>
      <c r="B154" s="2">
        <v>153</v>
      </c>
      <c r="C154" s="13">
        <v>40696</v>
      </c>
      <c r="D154" s="14">
        <v>41061</v>
      </c>
      <c r="E154" s="2">
        <v>408</v>
      </c>
      <c r="F154" s="2">
        <v>1922</v>
      </c>
      <c r="G154" s="2">
        <v>1</v>
      </c>
      <c r="H154" s="2">
        <f t="shared" si="18"/>
        <v>4</v>
      </c>
      <c r="I154" s="2" t="str">
        <f t="shared" si="16"/>
        <v>08</v>
      </c>
      <c r="J154" s="10">
        <f t="shared" si="19"/>
        <v>0.17222222222222222</v>
      </c>
      <c r="K154" s="2">
        <f t="shared" si="20"/>
        <v>19</v>
      </c>
      <c r="L154">
        <f t="shared" si="21"/>
        <v>22</v>
      </c>
      <c r="M154" s="10">
        <f t="shared" si="22"/>
        <v>0.80694444444444446</v>
      </c>
      <c r="N154" s="12">
        <f t="shared" si="23"/>
        <v>15.233333333333333</v>
      </c>
    </row>
    <row r="155" spans="1:14">
      <c r="A155" s="2">
        <f t="shared" si="17"/>
        <v>164</v>
      </c>
      <c r="B155" s="2">
        <v>154</v>
      </c>
      <c r="C155" s="13">
        <v>40697</v>
      </c>
      <c r="D155" s="14">
        <v>41062</v>
      </c>
      <c r="E155" s="2">
        <v>407</v>
      </c>
      <c r="F155" s="2">
        <v>1923</v>
      </c>
      <c r="G155" s="2">
        <v>1</v>
      </c>
      <c r="H155" s="2">
        <f t="shared" si="18"/>
        <v>4</v>
      </c>
      <c r="I155" s="2" t="str">
        <f t="shared" si="16"/>
        <v>07</v>
      </c>
      <c r="J155" s="10">
        <f t="shared" si="19"/>
        <v>0.17152777777777778</v>
      </c>
      <c r="K155" s="2">
        <f t="shared" si="20"/>
        <v>19</v>
      </c>
      <c r="L155">
        <f t="shared" si="21"/>
        <v>23</v>
      </c>
      <c r="M155" s="10">
        <f t="shared" si="22"/>
        <v>0.80763888888888891</v>
      </c>
      <c r="N155" s="12">
        <f t="shared" si="23"/>
        <v>15.266666666666666</v>
      </c>
    </row>
    <row r="156" spans="1:14">
      <c r="A156" s="2">
        <f t="shared" si="17"/>
        <v>165</v>
      </c>
      <c r="B156" s="2">
        <v>155</v>
      </c>
      <c r="C156" s="13">
        <v>40698</v>
      </c>
      <c r="D156" s="14">
        <v>41063</v>
      </c>
      <c r="E156" s="2">
        <v>407</v>
      </c>
      <c r="F156" s="2">
        <v>1924</v>
      </c>
      <c r="G156" s="2">
        <v>1</v>
      </c>
      <c r="H156" s="2">
        <f t="shared" si="18"/>
        <v>4</v>
      </c>
      <c r="I156" s="2" t="str">
        <f t="shared" si="16"/>
        <v>07</v>
      </c>
      <c r="J156" s="10">
        <f t="shared" si="19"/>
        <v>0.17152777777777778</v>
      </c>
      <c r="K156" s="2">
        <f t="shared" si="20"/>
        <v>19</v>
      </c>
      <c r="L156">
        <f t="shared" si="21"/>
        <v>24</v>
      </c>
      <c r="M156" s="10">
        <f t="shared" si="22"/>
        <v>0.80833333333333335</v>
      </c>
      <c r="N156" s="12">
        <f t="shared" si="23"/>
        <v>15.283333333333335</v>
      </c>
    </row>
    <row r="157" spans="1:14">
      <c r="A157" s="2">
        <f t="shared" si="17"/>
        <v>166</v>
      </c>
      <c r="B157" s="2">
        <v>156</v>
      </c>
      <c r="C157" s="13">
        <v>40699</v>
      </c>
      <c r="D157" s="14">
        <v>41064</v>
      </c>
      <c r="E157" s="2">
        <v>406</v>
      </c>
      <c r="F157" s="2">
        <v>1924</v>
      </c>
      <c r="G157" s="2">
        <v>1</v>
      </c>
      <c r="H157" s="2">
        <f t="shared" si="18"/>
        <v>4</v>
      </c>
      <c r="I157" s="2" t="str">
        <f t="shared" si="16"/>
        <v>06</v>
      </c>
      <c r="J157" s="10">
        <f t="shared" si="19"/>
        <v>0.17083333333333334</v>
      </c>
      <c r="K157" s="2">
        <f t="shared" si="20"/>
        <v>19</v>
      </c>
      <c r="L157">
        <f t="shared" si="21"/>
        <v>24</v>
      </c>
      <c r="M157" s="10">
        <f t="shared" si="22"/>
        <v>0.80833333333333335</v>
      </c>
      <c r="N157" s="12">
        <f t="shared" si="23"/>
        <v>15.299999999999999</v>
      </c>
    </row>
    <row r="158" spans="1:14">
      <c r="A158" s="2">
        <f t="shared" si="17"/>
        <v>167</v>
      </c>
      <c r="B158" s="2">
        <v>157</v>
      </c>
      <c r="C158" s="13">
        <v>40700</v>
      </c>
      <c r="D158" s="14">
        <v>41065</v>
      </c>
      <c r="E158" s="2">
        <v>406</v>
      </c>
      <c r="F158" s="2">
        <v>1925</v>
      </c>
      <c r="G158" s="2">
        <v>1</v>
      </c>
      <c r="H158" s="2">
        <f t="shared" si="18"/>
        <v>4</v>
      </c>
      <c r="I158" s="2" t="str">
        <f t="shared" si="16"/>
        <v>06</v>
      </c>
      <c r="J158" s="10">
        <f t="shared" si="19"/>
        <v>0.17083333333333334</v>
      </c>
      <c r="K158" s="2">
        <f t="shared" si="20"/>
        <v>19</v>
      </c>
      <c r="L158">
        <f t="shared" si="21"/>
        <v>25</v>
      </c>
      <c r="M158" s="10">
        <f t="shared" si="22"/>
        <v>0.80902777777777779</v>
      </c>
      <c r="N158" s="12">
        <f t="shared" si="23"/>
        <v>15.316666666666668</v>
      </c>
    </row>
    <row r="159" spans="1:14">
      <c r="A159" s="2">
        <f t="shared" si="17"/>
        <v>168</v>
      </c>
      <c r="B159" s="2">
        <v>158</v>
      </c>
      <c r="C159" s="13">
        <v>40701</v>
      </c>
      <c r="D159" s="14">
        <v>41066</v>
      </c>
      <c r="E159" s="2">
        <v>406</v>
      </c>
      <c r="F159" s="2">
        <v>1926</v>
      </c>
      <c r="G159" s="2">
        <v>1</v>
      </c>
      <c r="H159" s="2">
        <f t="shared" si="18"/>
        <v>4</v>
      </c>
      <c r="I159" s="2" t="str">
        <f t="shared" si="16"/>
        <v>06</v>
      </c>
      <c r="J159" s="10">
        <f t="shared" si="19"/>
        <v>0.17083333333333334</v>
      </c>
      <c r="K159" s="2">
        <f t="shared" si="20"/>
        <v>19</v>
      </c>
      <c r="L159">
        <f t="shared" si="21"/>
        <v>26</v>
      </c>
      <c r="M159" s="10">
        <f t="shared" si="22"/>
        <v>0.80972222222222223</v>
      </c>
      <c r="N159" s="12">
        <f t="shared" si="23"/>
        <v>15.333333333333332</v>
      </c>
    </row>
    <row r="160" spans="1:14">
      <c r="A160" s="2">
        <f t="shared" si="17"/>
        <v>169</v>
      </c>
      <c r="B160" s="2">
        <v>159</v>
      </c>
      <c r="C160" s="13">
        <v>40702</v>
      </c>
      <c r="D160" s="14">
        <v>41067</v>
      </c>
      <c r="E160" s="2">
        <v>405</v>
      </c>
      <c r="F160" s="2">
        <v>1927</v>
      </c>
      <c r="G160" s="2">
        <v>1</v>
      </c>
      <c r="H160" s="2">
        <f t="shared" si="18"/>
        <v>4</v>
      </c>
      <c r="I160" s="2" t="str">
        <f t="shared" si="16"/>
        <v>05</v>
      </c>
      <c r="J160" s="10">
        <f t="shared" si="19"/>
        <v>0.1701388888888889</v>
      </c>
      <c r="K160" s="2">
        <f t="shared" si="20"/>
        <v>19</v>
      </c>
      <c r="L160">
        <f t="shared" si="21"/>
        <v>27</v>
      </c>
      <c r="M160" s="10">
        <f t="shared" si="22"/>
        <v>0.81041666666666667</v>
      </c>
      <c r="N160" s="12">
        <f t="shared" si="23"/>
        <v>15.366666666666665</v>
      </c>
    </row>
    <row r="161" spans="1:14">
      <c r="A161" s="2">
        <f t="shared" si="17"/>
        <v>170</v>
      </c>
      <c r="B161" s="2">
        <v>160</v>
      </c>
      <c r="C161" s="13">
        <v>40703</v>
      </c>
      <c r="D161" s="14">
        <v>41068</v>
      </c>
      <c r="E161" s="2">
        <v>405</v>
      </c>
      <c r="F161" s="2">
        <v>1927</v>
      </c>
      <c r="G161" s="2">
        <v>1</v>
      </c>
      <c r="H161" s="2">
        <f t="shared" si="18"/>
        <v>4</v>
      </c>
      <c r="I161" s="2" t="str">
        <f t="shared" si="16"/>
        <v>05</v>
      </c>
      <c r="J161" s="10">
        <f t="shared" si="19"/>
        <v>0.1701388888888889</v>
      </c>
      <c r="K161" s="2">
        <f t="shared" si="20"/>
        <v>19</v>
      </c>
      <c r="L161">
        <f t="shared" si="21"/>
        <v>27</v>
      </c>
      <c r="M161" s="10">
        <f t="shared" si="22"/>
        <v>0.81041666666666667</v>
      </c>
      <c r="N161" s="12">
        <f t="shared" si="23"/>
        <v>15.366666666666665</v>
      </c>
    </row>
    <row r="162" spans="1:14">
      <c r="A162" s="2">
        <f t="shared" si="17"/>
        <v>171</v>
      </c>
      <c r="B162" s="2">
        <v>161</v>
      </c>
      <c r="C162" s="13">
        <v>40704</v>
      </c>
      <c r="D162" s="14">
        <v>41069</v>
      </c>
      <c r="E162" s="2">
        <v>405</v>
      </c>
      <c r="F162" s="2">
        <v>1928</v>
      </c>
      <c r="G162" s="2">
        <v>1</v>
      </c>
      <c r="H162" s="2">
        <f t="shared" si="18"/>
        <v>4</v>
      </c>
      <c r="I162" s="2" t="str">
        <f t="shared" si="16"/>
        <v>05</v>
      </c>
      <c r="J162" s="10">
        <f t="shared" si="19"/>
        <v>0.1701388888888889</v>
      </c>
      <c r="K162" s="2">
        <f t="shared" si="20"/>
        <v>19</v>
      </c>
      <c r="L162">
        <f t="shared" si="21"/>
        <v>28</v>
      </c>
      <c r="M162" s="10">
        <f t="shared" si="22"/>
        <v>0.81111111111111112</v>
      </c>
      <c r="N162" s="12">
        <f t="shared" si="23"/>
        <v>15.383333333333335</v>
      </c>
    </row>
    <row r="163" spans="1:14">
      <c r="A163" s="2">
        <f t="shared" si="17"/>
        <v>172</v>
      </c>
      <c r="B163" s="2">
        <v>162</v>
      </c>
      <c r="C163" s="13">
        <v>40705</v>
      </c>
      <c r="D163" s="14">
        <v>41070</v>
      </c>
      <c r="E163" s="2">
        <v>405</v>
      </c>
      <c r="F163" s="2">
        <v>1928</v>
      </c>
      <c r="G163" s="2">
        <v>1</v>
      </c>
      <c r="H163" s="2">
        <f t="shared" si="18"/>
        <v>4</v>
      </c>
      <c r="I163" s="2" t="str">
        <f t="shared" si="16"/>
        <v>05</v>
      </c>
      <c r="J163" s="10">
        <f t="shared" si="19"/>
        <v>0.1701388888888889</v>
      </c>
      <c r="K163" s="2">
        <f t="shared" si="20"/>
        <v>19</v>
      </c>
      <c r="L163">
        <f t="shared" si="21"/>
        <v>28</v>
      </c>
      <c r="M163" s="10">
        <f t="shared" si="22"/>
        <v>0.81111111111111112</v>
      </c>
      <c r="N163" s="12">
        <f t="shared" si="23"/>
        <v>15.383333333333335</v>
      </c>
    </row>
    <row r="164" spans="1:14">
      <c r="A164" s="2">
        <f t="shared" si="17"/>
        <v>173</v>
      </c>
      <c r="B164" s="2">
        <v>163</v>
      </c>
      <c r="C164" s="13">
        <v>40706</v>
      </c>
      <c r="D164" s="14">
        <v>41071</v>
      </c>
      <c r="E164" s="2">
        <v>404</v>
      </c>
      <c r="F164" s="2">
        <v>1929</v>
      </c>
      <c r="G164" s="2">
        <v>1</v>
      </c>
      <c r="H164" s="2">
        <f t="shared" si="18"/>
        <v>4</v>
      </c>
      <c r="I164" s="2" t="str">
        <f t="shared" si="16"/>
        <v>04</v>
      </c>
      <c r="J164" s="10">
        <f t="shared" si="19"/>
        <v>0.16944444444444445</v>
      </c>
      <c r="K164" s="2">
        <f t="shared" si="20"/>
        <v>19</v>
      </c>
      <c r="L164">
        <f t="shared" si="21"/>
        <v>29</v>
      </c>
      <c r="M164" s="10">
        <f t="shared" si="22"/>
        <v>0.81180555555555556</v>
      </c>
      <c r="N164" s="12">
        <f t="shared" si="23"/>
        <v>15.416666666666668</v>
      </c>
    </row>
    <row r="165" spans="1:14">
      <c r="A165" s="2">
        <f t="shared" si="17"/>
        <v>174</v>
      </c>
      <c r="B165" s="2">
        <v>164</v>
      </c>
      <c r="C165" s="13">
        <v>40707</v>
      </c>
      <c r="D165" s="14">
        <v>41072</v>
      </c>
      <c r="E165" s="2">
        <v>404</v>
      </c>
      <c r="F165" s="2">
        <v>1929</v>
      </c>
      <c r="G165" s="2">
        <v>1</v>
      </c>
      <c r="H165" s="2">
        <f t="shared" si="18"/>
        <v>4</v>
      </c>
      <c r="I165" s="2" t="str">
        <f t="shared" si="16"/>
        <v>04</v>
      </c>
      <c r="J165" s="10">
        <f t="shared" si="19"/>
        <v>0.16944444444444445</v>
      </c>
      <c r="K165" s="2">
        <f t="shared" si="20"/>
        <v>19</v>
      </c>
      <c r="L165">
        <f t="shared" si="21"/>
        <v>29</v>
      </c>
      <c r="M165" s="10">
        <f t="shared" si="22"/>
        <v>0.81180555555555556</v>
      </c>
      <c r="N165" s="12">
        <f t="shared" si="23"/>
        <v>15.416666666666668</v>
      </c>
    </row>
    <row r="166" spans="1:14">
      <c r="A166" s="2">
        <f t="shared" si="17"/>
        <v>175</v>
      </c>
      <c r="B166" s="2">
        <v>165</v>
      </c>
      <c r="C166" s="13">
        <v>40708</v>
      </c>
      <c r="D166" s="14">
        <v>41073</v>
      </c>
      <c r="E166" s="2">
        <v>404</v>
      </c>
      <c r="F166" s="2">
        <v>1930</v>
      </c>
      <c r="G166" s="2">
        <v>1</v>
      </c>
      <c r="H166" s="2">
        <f t="shared" si="18"/>
        <v>4</v>
      </c>
      <c r="I166" s="2" t="str">
        <f t="shared" si="16"/>
        <v>04</v>
      </c>
      <c r="J166" s="10">
        <f t="shared" si="19"/>
        <v>0.16944444444444445</v>
      </c>
      <c r="K166" s="2">
        <f t="shared" si="20"/>
        <v>19</v>
      </c>
      <c r="L166">
        <f t="shared" si="21"/>
        <v>30</v>
      </c>
      <c r="M166" s="10">
        <f t="shared" si="22"/>
        <v>0.8125</v>
      </c>
      <c r="N166" s="12">
        <f t="shared" si="23"/>
        <v>15.433333333333332</v>
      </c>
    </row>
    <row r="167" spans="1:14">
      <c r="A167" s="2">
        <f t="shared" si="17"/>
        <v>176</v>
      </c>
      <c r="B167" s="2">
        <v>166</v>
      </c>
      <c r="C167" s="13">
        <v>40709</v>
      </c>
      <c r="D167" s="14">
        <v>41074</v>
      </c>
      <c r="E167" s="2">
        <v>404</v>
      </c>
      <c r="F167" s="2">
        <v>1930</v>
      </c>
      <c r="G167" s="2">
        <v>1</v>
      </c>
      <c r="H167" s="2">
        <f t="shared" si="18"/>
        <v>4</v>
      </c>
      <c r="I167" s="2" t="str">
        <f t="shared" si="16"/>
        <v>04</v>
      </c>
      <c r="J167" s="10">
        <f t="shared" si="19"/>
        <v>0.16944444444444445</v>
      </c>
      <c r="K167" s="2">
        <f t="shared" si="20"/>
        <v>19</v>
      </c>
      <c r="L167">
        <f t="shared" si="21"/>
        <v>30</v>
      </c>
      <c r="M167" s="10">
        <f t="shared" si="22"/>
        <v>0.8125</v>
      </c>
      <c r="N167" s="12">
        <f t="shared" si="23"/>
        <v>15.433333333333332</v>
      </c>
    </row>
    <row r="168" spans="1:14">
      <c r="A168" s="2">
        <f t="shared" si="17"/>
        <v>177</v>
      </c>
      <c r="B168" s="2">
        <v>167</v>
      </c>
      <c r="C168" s="13">
        <v>40710</v>
      </c>
      <c r="D168" s="14">
        <v>41075</v>
      </c>
      <c r="E168" s="2">
        <v>404</v>
      </c>
      <c r="F168" s="2">
        <v>1931</v>
      </c>
      <c r="G168" s="2">
        <v>1</v>
      </c>
      <c r="H168" s="2">
        <f t="shared" si="18"/>
        <v>4</v>
      </c>
      <c r="I168" s="2" t="str">
        <f t="shared" si="16"/>
        <v>04</v>
      </c>
      <c r="J168" s="10">
        <f t="shared" si="19"/>
        <v>0.16944444444444445</v>
      </c>
      <c r="K168" s="2">
        <f t="shared" si="20"/>
        <v>19</v>
      </c>
      <c r="L168">
        <f t="shared" si="21"/>
        <v>31</v>
      </c>
      <c r="M168" s="10">
        <f t="shared" si="22"/>
        <v>0.81319444444444444</v>
      </c>
      <c r="N168" s="12">
        <f t="shared" si="23"/>
        <v>15.450000000000001</v>
      </c>
    </row>
    <row r="169" spans="1:14">
      <c r="A169" s="2">
        <f t="shared" si="17"/>
        <v>178</v>
      </c>
      <c r="B169" s="2">
        <v>168</v>
      </c>
      <c r="C169" s="13">
        <v>40711</v>
      </c>
      <c r="D169" s="14">
        <v>41076</v>
      </c>
      <c r="E169" s="2">
        <v>404</v>
      </c>
      <c r="F169" s="2">
        <v>1931</v>
      </c>
      <c r="G169" s="2">
        <v>1</v>
      </c>
      <c r="H169" s="2">
        <f t="shared" si="18"/>
        <v>4</v>
      </c>
      <c r="I169" s="2" t="str">
        <f t="shared" si="16"/>
        <v>04</v>
      </c>
      <c r="J169" s="10">
        <f t="shared" si="19"/>
        <v>0.16944444444444445</v>
      </c>
      <c r="K169" s="2">
        <f t="shared" si="20"/>
        <v>19</v>
      </c>
      <c r="L169">
        <f t="shared" si="21"/>
        <v>31</v>
      </c>
      <c r="M169" s="10">
        <f t="shared" si="22"/>
        <v>0.81319444444444444</v>
      </c>
      <c r="N169" s="12">
        <f t="shared" si="23"/>
        <v>15.450000000000001</v>
      </c>
    </row>
    <row r="170" spans="1:14">
      <c r="A170" s="2">
        <f t="shared" si="17"/>
        <v>179</v>
      </c>
      <c r="B170" s="2">
        <v>169</v>
      </c>
      <c r="C170" s="13">
        <v>40712</v>
      </c>
      <c r="D170" s="14">
        <v>41077</v>
      </c>
      <c r="E170" s="2">
        <v>404</v>
      </c>
      <c r="F170" s="2">
        <v>1931</v>
      </c>
      <c r="G170" s="2">
        <v>1</v>
      </c>
      <c r="H170" s="2">
        <f t="shared" si="18"/>
        <v>4</v>
      </c>
      <c r="I170" s="2" t="str">
        <f t="shared" si="16"/>
        <v>04</v>
      </c>
      <c r="J170" s="10">
        <f t="shared" si="19"/>
        <v>0.16944444444444445</v>
      </c>
      <c r="K170" s="2">
        <f t="shared" si="20"/>
        <v>19</v>
      </c>
      <c r="L170">
        <f t="shared" si="21"/>
        <v>31</v>
      </c>
      <c r="M170" s="10">
        <f t="shared" si="22"/>
        <v>0.81319444444444444</v>
      </c>
      <c r="N170" s="12">
        <f t="shared" si="23"/>
        <v>15.450000000000001</v>
      </c>
    </row>
    <row r="171" spans="1:14">
      <c r="A171" s="2">
        <f t="shared" si="17"/>
        <v>180</v>
      </c>
      <c r="B171" s="2">
        <v>170</v>
      </c>
      <c r="C171" s="13">
        <v>40713</v>
      </c>
      <c r="D171" s="14">
        <v>41078</v>
      </c>
      <c r="E171" s="2">
        <v>404</v>
      </c>
      <c r="F171" s="2">
        <v>1932</v>
      </c>
      <c r="G171" s="2">
        <v>1</v>
      </c>
      <c r="H171" s="2">
        <f t="shared" si="18"/>
        <v>4</v>
      </c>
      <c r="I171" s="2" t="str">
        <f t="shared" si="16"/>
        <v>04</v>
      </c>
      <c r="J171" s="10">
        <f t="shared" si="19"/>
        <v>0.16944444444444445</v>
      </c>
      <c r="K171" s="2">
        <f t="shared" si="20"/>
        <v>19</v>
      </c>
      <c r="L171">
        <f t="shared" si="21"/>
        <v>32</v>
      </c>
      <c r="M171" s="10">
        <f t="shared" si="22"/>
        <v>0.81388888888888888</v>
      </c>
      <c r="N171" s="12">
        <f t="shared" si="23"/>
        <v>15.466666666666665</v>
      </c>
    </row>
    <row r="172" spans="1:14">
      <c r="A172" s="2">
        <f t="shared" si="17"/>
        <v>181</v>
      </c>
      <c r="B172" s="2">
        <v>171</v>
      </c>
      <c r="C172" s="13">
        <v>40714</v>
      </c>
      <c r="D172" s="14">
        <v>41079</v>
      </c>
      <c r="E172" s="2">
        <v>405</v>
      </c>
      <c r="F172" s="2">
        <v>1932</v>
      </c>
      <c r="G172" s="2">
        <v>1</v>
      </c>
      <c r="H172" s="2">
        <f t="shared" si="18"/>
        <v>4</v>
      </c>
      <c r="I172" s="2" t="str">
        <f t="shared" si="16"/>
        <v>05</v>
      </c>
      <c r="J172" s="10">
        <f t="shared" si="19"/>
        <v>0.1701388888888889</v>
      </c>
      <c r="K172" s="2">
        <f t="shared" si="20"/>
        <v>19</v>
      </c>
      <c r="L172">
        <f t="shared" si="21"/>
        <v>32</v>
      </c>
      <c r="M172" s="10">
        <f t="shared" si="22"/>
        <v>0.81388888888888888</v>
      </c>
      <c r="N172" s="12">
        <f t="shared" si="23"/>
        <v>15.450000000000001</v>
      </c>
    </row>
    <row r="173" spans="1:14">
      <c r="A173" s="2">
        <f t="shared" si="17"/>
        <v>182</v>
      </c>
      <c r="B173" s="2">
        <v>172</v>
      </c>
      <c r="C173" s="13">
        <v>40715</v>
      </c>
      <c r="D173" s="14">
        <v>41080</v>
      </c>
      <c r="E173" s="2">
        <v>405</v>
      </c>
      <c r="F173" s="2">
        <v>1932</v>
      </c>
      <c r="G173" s="2">
        <v>1</v>
      </c>
      <c r="H173" s="2">
        <f t="shared" si="18"/>
        <v>4</v>
      </c>
      <c r="I173" s="2" t="str">
        <f t="shared" si="16"/>
        <v>05</v>
      </c>
      <c r="J173" s="10">
        <f t="shared" si="19"/>
        <v>0.1701388888888889</v>
      </c>
      <c r="K173" s="2">
        <f t="shared" si="20"/>
        <v>19</v>
      </c>
      <c r="L173">
        <f t="shared" si="21"/>
        <v>32</v>
      </c>
      <c r="M173" s="10">
        <f t="shared" si="22"/>
        <v>0.81388888888888888</v>
      </c>
      <c r="N173" s="12">
        <f t="shared" si="23"/>
        <v>15.450000000000001</v>
      </c>
    </row>
    <row r="174" spans="1:14">
      <c r="A174" s="2">
        <f t="shared" si="17"/>
        <v>183</v>
      </c>
      <c r="B174" s="2">
        <v>173</v>
      </c>
      <c r="C174" s="13">
        <v>40716</v>
      </c>
      <c r="D174" s="14">
        <v>41081</v>
      </c>
      <c r="E174" s="2">
        <v>405</v>
      </c>
      <c r="F174" s="2">
        <v>1932</v>
      </c>
      <c r="G174" s="2">
        <v>1</v>
      </c>
      <c r="H174" s="2">
        <f t="shared" si="18"/>
        <v>4</v>
      </c>
      <c r="I174" s="2" t="str">
        <f t="shared" si="16"/>
        <v>05</v>
      </c>
      <c r="J174" s="10">
        <f t="shared" si="19"/>
        <v>0.1701388888888889</v>
      </c>
      <c r="K174" s="2">
        <f t="shared" si="20"/>
        <v>19</v>
      </c>
      <c r="L174">
        <f t="shared" si="21"/>
        <v>32</v>
      </c>
      <c r="M174" s="10">
        <f t="shared" si="22"/>
        <v>0.81388888888888888</v>
      </c>
      <c r="N174" s="12">
        <f t="shared" si="23"/>
        <v>15.450000000000001</v>
      </c>
    </row>
    <row r="175" spans="1:14">
      <c r="A175" s="2">
        <f t="shared" si="17"/>
        <v>184</v>
      </c>
      <c r="B175" s="2">
        <v>174</v>
      </c>
      <c r="C175" s="13">
        <v>40717</v>
      </c>
      <c r="D175" s="14">
        <v>41082</v>
      </c>
      <c r="E175" s="2">
        <v>405</v>
      </c>
      <c r="F175" s="2">
        <v>1933</v>
      </c>
      <c r="G175" s="2">
        <v>1</v>
      </c>
      <c r="H175" s="2">
        <f t="shared" si="18"/>
        <v>4</v>
      </c>
      <c r="I175" s="2" t="str">
        <f t="shared" si="16"/>
        <v>05</v>
      </c>
      <c r="J175" s="10">
        <f t="shared" si="19"/>
        <v>0.1701388888888889</v>
      </c>
      <c r="K175" s="2">
        <f t="shared" si="20"/>
        <v>19</v>
      </c>
      <c r="L175">
        <f t="shared" si="21"/>
        <v>33</v>
      </c>
      <c r="M175" s="10">
        <f t="shared" si="22"/>
        <v>0.81458333333333333</v>
      </c>
      <c r="N175" s="12">
        <f t="shared" si="23"/>
        <v>15.466666666666665</v>
      </c>
    </row>
    <row r="176" spans="1:14">
      <c r="A176" s="2">
        <f t="shared" si="17"/>
        <v>185</v>
      </c>
      <c r="B176" s="2">
        <v>175</v>
      </c>
      <c r="C176" s="13">
        <v>40718</v>
      </c>
      <c r="D176" s="14">
        <v>41083</v>
      </c>
      <c r="E176" s="2">
        <v>406</v>
      </c>
      <c r="F176" s="2">
        <v>1933</v>
      </c>
      <c r="G176" s="2">
        <v>1</v>
      </c>
      <c r="H176" s="2">
        <f t="shared" si="18"/>
        <v>4</v>
      </c>
      <c r="I176" s="2" t="str">
        <f t="shared" si="16"/>
        <v>06</v>
      </c>
      <c r="J176" s="10">
        <f t="shared" si="19"/>
        <v>0.17083333333333334</v>
      </c>
      <c r="K176" s="2">
        <f t="shared" si="20"/>
        <v>19</v>
      </c>
      <c r="L176">
        <f t="shared" si="21"/>
        <v>33</v>
      </c>
      <c r="M176" s="10">
        <f t="shared" si="22"/>
        <v>0.81458333333333333</v>
      </c>
      <c r="N176" s="12">
        <f t="shared" si="23"/>
        <v>15.450000000000001</v>
      </c>
    </row>
    <row r="177" spans="1:14">
      <c r="A177" s="2">
        <f t="shared" si="17"/>
        <v>186</v>
      </c>
      <c r="B177" s="2">
        <v>176</v>
      </c>
      <c r="C177" s="13">
        <v>40719</v>
      </c>
      <c r="D177" s="14">
        <v>41084</v>
      </c>
      <c r="E177" s="2">
        <v>406</v>
      </c>
      <c r="F177" s="2">
        <v>1933</v>
      </c>
      <c r="G177" s="2">
        <v>1</v>
      </c>
      <c r="H177" s="2">
        <f t="shared" si="18"/>
        <v>4</v>
      </c>
      <c r="I177" s="2" t="str">
        <f t="shared" si="16"/>
        <v>06</v>
      </c>
      <c r="J177" s="10">
        <f t="shared" si="19"/>
        <v>0.17083333333333334</v>
      </c>
      <c r="K177" s="2">
        <f t="shared" si="20"/>
        <v>19</v>
      </c>
      <c r="L177">
        <f t="shared" si="21"/>
        <v>33</v>
      </c>
      <c r="M177" s="10">
        <f t="shared" si="22"/>
        <v>0.81458333333333333</v>
      </c>
      <c r="N177" s="12">
        <f t="shared" si="23"/>
        <v>15.450000000000001</v>
      </c>
    </row>
    <row r="178" spans="1:14">
      <c r="A178" s="2">
        <f t="shared" si="17"/>
        <v>187</v>
      </c>
      <c r="B178" s="2">
        <v>177</v>
      </c>
      <c r="C178" s="13">
        <v>40720</v>
      </c>
      <c r="D178" s="14">
        <v>41085</v>
      </c>
      <c r="E178" s="2">
        <v>406</v>
      </c>
      <c r="F178" s="2">
        <v>1933</v>
      </c>
      <c r="G178" s="2">
        <v>1</v>
      </c>
      <c r="H178" s="2">
        <f t="shared" si="18"/>
        <v>4</v>
      </c>
      <c r="I178" s="2" t="str">
        <f t="shared" si="16"/>
        <v>06</v>
      </c>
      <c r="J178" s="10">
        <f t="shared" si="19"/>
        <v>0.17083333333333334</v>
      </c>
      <c r="K178" s="2">
        <f t="shared" si="20"/>
        <v>19</v>
      </c>
      <c r="L178">
        <f t="shared" si="21"/>
        <v>33</v>
      </c>
      <c r="M178" s="10">
        <f t="shared" si="22"/>
        <v>0.81458333333333333</v>
      </c>
      <c r="N178" s="12">
        <f t="shared" si="23"/>
        <v>15.450000000000001</v>
      </c>
    </row>
    <row r="179" spans="1:14">
      <c r="A179" s="2">
        <f t="shared" si="17"/>
        <v>188</v>
      </c>
      <c r="B179" s="2">
        <v>178</v>
      </c>
      <c r="C179" s="13">
        <v>40721</v>
      </c>
      <c r="D179" s="14">
        <v>41086</v>
      </c>
      <c r="E179" s="2">
        <v>407</v>
      </c>
      <c r="F179" s="2">
        <v>1933</v>
      </c>
      <c r="G179" s="2">
        <v>1</v>
      </c>
      <c r="H179" s="2">
        <f t="shared" si="18"/>
        <v>4</v>
      </c>
      <c r="I179" s="2" t="str">
        <f t="shared" si="16"/>
        <v>07</v>
      </c>
      <c r="J179" s="10">
        <f t="shared" si="19"/>
        <v>0.17152777777777778</v>
      </c>
      <c r="K179" s="2">
        <f t="shared" si="20"/>
        <v>19</v>
      </c>
      <c r="L179">
        <f t="shared" si="21"/>
        <v>33</v>
      </c>
      <c r="M179" s="10">
        <f t="shared" si="22"/>
        <v>0.81458333333333333</v>
      </c>
      <c r="N179" s="12">
        <f t="shared" si="23"/>
        <v>15.433333333333332</v>
      </c>
    </row>
    <row r="180" spans="1:14">
      <c r="A180" s="2">
        <f t="shared" si="17"/>
        <v>189</v>
      </c>
      <c r="B180" s="2">
        <v>179</v>
      </c>
      <c r="C180" s="13">
        <v>40722</v>
      </c>
      <c r="D180" s="14">
        <v>41087</v>
      </c>
      <c r="E180" s="2">
        <v>407</v>
      </c>
      <c r="F180" s="2">
        <v>1933</v>
      </c>
      <c r="G180" s="2">
        <v>1</v>
      </c>
      <c r="H180" s="2">
        <f t="shared" si="18"/>
        <v>4</v>
      </c>
      <c r="I180" s="2" t="str">
        <f t="shared" si="16"/>
        <v>07</v>
      </c>
      <c r="J180" s="10">
        <f t="shared" si="19"/>
        <v>0.17152777777777778</v>
      </c>
      <c r="K180" s="2">
        <f t="shared" si="20"/>
        <v>19</v>
      </c>
      <c r="L180">
        <f t="shared" si="21"/>
        <v>33</v>
      </c>
      <c r="M180" s="10">
        <f t="shared" si="22"/>
        <v>0.81458333333333333</v>
      </c>
      <c r="N180" s="12">
        <f t="shared" si="23"/>
        <v>15.433333333333332</v>
      </c>
    </row>
    <row r="181" spans="1:14">
      <c r="A181" s="2">
        <f t="shared" si="17"/>
        <v>190</v>
      </c>
      <c r="B181" s="2">
        <v>180</v>
      </c>
      <c r="C181" s="13">
        <v>40723</v>
      </c>
      <c r="D181" s="14">
        <v>41088</v>
      </c>
      <c r="E181" s="2">
        <v>407</v>
      </c>
      <c r="F181" s="2">
        <v>1933</v>
      </c>
      <c r="G181" s="2">
        <v>1</v>
      </c>
      <c r="H181" s="2">
        <f t="shared" si="18"/>
        <v>4</v>
      </c>
      <c r="I181" s="2" t="str">
        <f t="shared" si="16"/>
        <v>07</v>
      </c>
      <c r="J181" s="10">
        <f t="shared" si="19"/>
        <v>0.17152777777777778</v>
      </c>
      <c r="K181" s="2">
        <f t="shared" si="20"/>
        <v>19</v>
      </c>
      <c r="L181">
        <f t="shared" si="21"/>
        <v>33</v>
      </c>
      <c r="M181" s="10">
        <f t="shared" si="22"/>
        <v>0.81458333333333333</v>
      </c>
      <c r="N181" s="12">
        <f t="shared" si="23"/>
        <v>15.433333333333332</v>
      </c>
    </row>
    <row r="182" spans="1:14">
      <c r="A182" s="2">
        <f t="shared" si="17"/>
        <v>191</v>
      </c>
      <c r="B182" s="2">
        <v>181</v>
      </c>
      <c r="C182" s="13">
        <v>40724</v>
      </c>
      <c r="D182" s="14">
        <v>41089</v>
      </c>
      <c r="E182" s="2">
        <v>408</v>
      </c>
      <c r="F182" s="2">
        <v>1933</v>
      </c>
      <c r="G182" s="2">
        <v>1</v>
      </c>
      <c r="H182" s="2">
        <f t="shared" si="18"/>
        <v>4</v>
      </c>
      <c r="I182" s="2" t="str">
        <f t="shared" si="16"/>
        <v>08</v>
      </c>
      <c r="J182" s="10">
        <f t="shared" si="19"/>
        <v>0.17222222222222222</v>
      </c>
      <c r="K182" s="2">
        <f t="shared" si="20"/>
        <v>19</v>
      </c>
      <c r="L182">
        <f t="shared" si="21"/>
        <v>33</v>
      </c>
      <c r="M182" s="10">
        <f t="shared" si="22"/>
        <v>0.81458333333333333</v>
      </c>
      <c r="N182" s="12">
        <f t="shared" si="23"/>
        <v>15.416666666666668</v>
      </c>
    </row>
    <row r="183" spans="1:14">
      <c r="A183" s="2">
        <f t="shared" si="17"/>
        <v>192</v>
      </c>
      <c r="B183" s="2">
        <v>182</v>
      </c>
      <c r="C183" s="13">
        <v>40725</v>
      </c>
      <c r="D183" s="14">
        <v>41090</v>
      </c>
      <c r="E183" s="2">
        <v>408</v>
      </c>
      <c r="F183" s="2">
        <v>1932</v>
      </c>
      <c r="G183" s="2">
        <v>1</v>
      </c>
      <c r="H183" s="2">
        <f t="shared" si="18"/>
        <v>4</v>
      </c>
      <c r="I183" s="2" t="str">
        <f t="shared" si="16"/>
        <v>08</v>
      </c>
      <c r="J183" s="10">
        <f t="shared" si="19"/>
        <v>0.17222222222222222</v>
      </c>
      <c r="K183" s="2">
        <f t="shared" si="20"/>
        <v>19</v>
      </c>
      <c r="L183">
        <f t="shared" si="21"/>
        <v>32</v>
      </c>
      <c r="M183" s="10">
        <f t="shared" si="22"/>
        <v>0.81388888888888888</v>
      </c>
      <c r="N183" s="12">
        <f t="shared" si="23"/>
        <v>15.399999999999999</v>
      </c>
    </row>
    <row r="184" spans="1:14">
      <c r="A184" s="2">
        <f t="shared" si="17"/>
        <v>193</v>
      </c>
      <c r="B184" s="2">
        <v>183</v>
      </c>
      <c r="C184" s="13">
        <v>40726</v>
      </c>
      <c r="D184" s="14">
        <v>41091</v>
      </c>
      <c r="E184" s="2">
        <v>409</v>
      </c>
      <c r="F184" s="2">
        <v>1932</v>
      </c>
      <c r="G184" s="2">
        <v>1</v>
      </c>
      <c r="H184" s="2">
        <f t="shared" si="18"/>
        <v>4</v>
      </c>
      <c r="I184" s="2" t="str">
        <f t="shared" si="16"/>
        <v>09</v>
      </c>
      <c r="J184" s="10">
        <f t="shared" si="19"/>
        <v>0.17291666666666666</v>
      </c>
      <c r="K184" s="2">
        <f t="shared" si="20"/>
        <v>19</v>
      </c>
      <c r="L184">
        <f t="shared" si="21"/>
        <v>32</v>
      </c>
      <c r="M184" s="10">
        <f t="shared" si="22"/>
        <v>0.81388888888888888</v>
      </c>
      <c r="N184" s="12">
        <f t="shared" si="23"/>
        <v>15.383333333333335</v>
      </c>
    </row>
    <row r="185" spans="1:14">
      <c r="A185" s="2">
        <f t="shared" si="17"/>
        <v>194</v>
      </c>
      <c r="B185" s="2">
        <v>184</v>
      </c>
      <c r="C185" s="13">
        <v>40727</v>
      </c>
      <c r="D185" s="14">
        <v>41092</v>
      </c>
      <c r="E185" s="2">
        <v>410</v>
      </c>
      <c r="F185" s="2">
        <v>1932</v>
      </c>
      <c r="G185" s="2">
        <v>1</v>
      </c>
      <c r="H185" s="2">
        <f t="shared" si="18"/>
        <v>4</v>
      </c>
      <c r="I185" s="2" t="str">
        <f t="shared" si="16"/>
        <v>10</v>
      </c>
      <c r="J185" s="10">
        <f t="shared" si="19"/>
        <v>0.1736111111111111</v>
      </c>
      <c r="K185" s="2">
        <f t="shared" si="20"/>
        <v>19</v>
      </c>
      <c r="L185">
        <f t="shared" si="21"/>
        <v>32</v>
      </c>
      <c r="M185" s="10">
        <f t="shared" si="22"/>
        <v>0.81388888888888888</v>
      </c>
      <c r="N185" s="12">
        <f t="shared" si="23"/>
        <v>15.366666666666665</v>
      </c>
    </row>
    <row r="186" spans="1:14">
      <c r="A186" s="2">
        <f t="shared" si="17"/>
        <v>195</v>
      </c>
      <c r="B186" s="2">
        <v>185</v>
      </c>
      <c r="C186" s="13">
        <v>40728</v>
      </c>
      <c r="D186" s="14">
        <v>41093</v>
      </c>
      <c r="E186" s="2">
        <v>410</v>
      </c>
      <c r="F186" s="2">
        <v>1932</v>
      </c>
      <c r="G186" s="2">
        <v>1</v>
      </c>
      <c r="H186" s="2">
        <f t="shared" si="18"/>
        <v>4</v>
      </c>
      <c r="I186" s="2" t="str">
        <f t="shared" si="16"/>
        <v>10</v>
      </c>
      <c r="J186" s="10">
        <f t="shared" si="19"/>
        <v>0.1736111111111111</v>
      </c>
      <c r="K186" s="2">
        <f t="shared" si="20"/>
        <v>19</v>
      </c>
      <c r="L186">
        <f t="shared" si="21"/>
        <v>32</v>
      </c>
      <c r="M186" s="10">
        <f t="shared" si="22"/>
        <v>0.81388888888888888</v>
      </c>
      <c r="N186" s="12">
        <f t="shared" si="23"/>
        <v>15.366666666666665</v>
      </c>
    </row>
    <row r="187" spans="1:14">
      <c r="A187" s="2">
        <f t="shared" si="17"/>
        <v>196</v>
      </c>
      <c r="B187" s="2">
        <v>186</v>
      </c>
      <c r="C187" s="13">
        <v>40729</v>
      </c>
      <c r="D187" s="14">
        <v>41094</v>
      </c>
      <c r="E187" s="2">
        <v>411</v>
      </c>
      <c r="F187" s="2">
        <v>1932</v>
      </c>
      <c r="G187" s="2">
        <v>1</v>
      </c>
      <c r="H187" s="2">
        <f t="shared" si="18"/>
        <v>4</v>
      </c>
      <c r="I187" s="2" t="str">
        <f t="shared" si="16"/>
        <v>11</v>
      </c>
      <c r="J187" s="10">
        <f t="shared" si="19"/>
        <v>0.17430555555555555</v>
      </c>
      <c r="K187" s="2">
        <f t="shared" si="20"/>
        <v>19</v>
      </c>
      <c r="L187">
        <f t="shared" si="21"/>
        <v>32</v>
      </c>
      <c r="M187" s="10">
        <f t="shared" si="22"/>
        <v>0.81388888888888888</v>
      </c>
      <c r="N187" s="12">
        <f t="shared" si="23"/>
        <v>15.350000000000001</v>
      </c>
    </row>
    <row r="188" spans="1:14">
      <c r="A188" s="2">
        <f t="shared" si="17"/>
        <v>197</v>
      </c>
      <c r="B188" s="2">
        <v>187</v>
      </c>
      <c r="C188" s="13">
        <v>40730</v>
      </c>
      <c r="D188" s="14">
        <v>41095</v>
      </c>
      <c r="E188" s="2">
        <v>411</v>
      </c>
      <c r="F188" s="2">
        <v>1931</v>
      </c>
      <c r="G188" s="2">
        <v>1</v>
      </c>
      <c r="H188" s="2">
        <f t="shared" si="18"/>
        <v>4</v>
      </c>
      <c r="I188" s="2" t="str">
        <f t="shared" si="16"/>
        <v>11</v>
      </c>
      <c r="J188" s="10">
        <f t="shared" si="19"/>
        <v>0.17430555555555555</v>
      </c>
      <c r="K188" s="2">
        <f t="shared" si="20"/>
        <v>19</v>
      </c>
      <c r="L188">
        <f t="shared" si="21"/>
        <v>31</v>
      </c>
      <c r="M188" s="10">
        <f t="shared" si="22"/>
        <v>0.81319444444444444</v>
      </c>
      <c r="N188" s="12">
        <f t="shared" si="23"/>
        <v>15.333333333333332</v>
      </c>
    </row>
    <row r="189" spans="1:14">
      <c r="A189" s="2">
        <f t="shared" si="17"/>
        <v>198</v>
      </c>
      <c r="B189" s="2">
        <v>188</v>
      </c>
      <c r="C189" s="13">
        <v>40731</v>
      </c>
      <c r="D189" s="14">
        <v>41096</v>
      </c>
      <c r="E189" s="2">
        <v>412</v>
      </c>
      <c r="F189" s="2">
        <v>1931</v>
      </c>
      <c r="G189" s="2">
        <v>1</v>
      </c>
      <c r="H189" s="2">
        <f t="shared" si="18"/>
        <v>4</v>
      </c>
      <c r="I189" s="2" t="str">
        <f t="shared" si="16"/>
        <v>12</v>
      </c>
      <c r="J189" s="10">
        <f t="shared" si="19"/>
        <v>0.17499999999999999</v>
      </c>
      <c r="K189" s="2">
        <f t="shared" si="20"/>
        <v>19</v>
      </c>
      <c r="L189">
        <f t="shared" si="21"/>
        <v>31</v>
      </c>
      <c r="M189" s="10">
        <f t="shared" si="22"/>
        <v>0.81319444444444444</v>
      </c>
      <c r="N189" s="12">
        <f t="shared" si="23"/>
        <v>15.316666666666668</v>
      </c>
    </row>
    <row r="190" spans="1:14">
      <c r="A190" s="2">
        <f t="shared" si="17"/>
        <v>199</v>
      </c>
      <c r="B190" s="2">
        <v>189</v>
      </c>
      <c r="C190" s="13">
        <v>40732</v>
      </c>
      <c r="D190" s="14">
        <v>41097</v>
      </c>
      <c r="E190" s="2">
        <v>413</v>
      </c>
      <c r="F190" s="2">
        <v>1930</v>
      </c>
      <c r="G190" s="2">
        <v>1</v>
      </c>
      <c r="H190" s="2">
        <f t="shared" si="18"/>
        <v>4</v>
      </c>
      <c r="I190" s="2" t="str">
        <f t="shared" si="16"/>
        <v>13</v>
      </c>
      <c r="J190" s="10">
        <f t="shared" si="19"/>
        <v>0.17569444444444443</v>
      </c>
      <c r="K190" s="2">
        <f t="shared" si="20"/>
        <v>19</v>
      </c>
      <c r="L190">
        <f t="shared" si="21"/>
        <v>30</v>
      </c>
      <c r="M190" s="10">
        <f t="shared" si="22"/>
        <v>0.8125</v>
      </c>
      <c r="N190" s="12">
        <f t="shared" si="23"/>
        <v>15.283333333333335</v>
      </c>
    </row>
    <row r="191" spans="1:14">
      <c r="A191" s="2">
        <f t="shared" si="17"/>
        <v>200</v>
      </c>
      <c r="B191" s="2">
        <v>190</v>
      </c>
      <c r="C191" s="13">
        <v>40733</v>
      </c>
      <c r="D191" s="14">
        <v>41098</v>
      </c>
      <c r="E191" s="2">
        <v>413</v>
      </c>
      <c r="F191" s="2">
        <v>1930</v>
      </c>
      <c r="G191" s="2">
        <v>1</v>
      </c>
      <c r="H191" s="2">
        <f t="shared" si="18"/>
        <v>4</v>
      </c>
      <c r="I191" s="2" t="str">
        <f t="shared" si="16"/>
        <v>13</v>
      </c>
      <c r="J191" s="10">
        <f t="shared" si="19"/>
        <v>0.17569444444444443</v>
      </c>
      <c r="K191" s="2">
        <f t="shared" si="20"/>
        <v>19</v>
      </c>
      <c r="L191">
        <f t="shared" si="21"/>
        <v>30</v>
      </c>
      <c r="M191" s="10">
        <f t="shared" si="22"/>
        <v>0.8125</v>
      </c>
      <c r="N191" s="12">
        <f t="shared" si="23"/>
        <v>15.283333333333335</v>
      </c>
    </row>
    <row r="192" spans="1:14">
      <c r="A192" s="2">
        <f t="shared" si="17"/>
        <v>201</v>
      </c>
      <c r="B192" s="2">
        <v>191</v>
      </c>
      <c r="C192" s="13">
        <v>40734</v>
      </c>
      <c r="D192" s="14">
        <v>41099</v>
      </c>
      <c r="E192" s="2">
        <v>414</v>
      </c>
      <c r="F192" s="2">
        <v>1930</v>
      </c>
      <c r="G192" s="2">
        <v>1</v>
      </c>
      <c r="H192" s="2">
        <f t="shared" si="18"/>
        <v>4</v>
      </c>
      <c r="I192" s="2" t="str">
        <f t="shared" si="16"/>
        <v>14</v>
      </c>
      <c r="J192" s="10">
        <f t="shared" si="19"/>
        <v>0.1763888888888889</v>
      </c>
      <c r="K192" s="2">
        <f t="shared" si="20"/>
        <v>19</v>
      </c>
      <c r="L192">
        <f t="shared" si="21"/>
        <v>30</v>
      </c>
      <c r="M192" s="10">
        <f t="shared" si="22"/>
        <v>0.8125</v>
      </c>
      <c r="N192" s="12">
        <f t="shared" si="23"/>
        <v>15.266666666666666</v>
      </c>
    </row>
    <row r="193" spans="1:14">
      <c r="A193" s="2">
        <f t="shared" si="17"/>
        <v>202</v>
      </c>
      <c r="B193" s="2">
        <v>192</v>
      </c>
      <c r="C193" s="13">
        <v>40735</v>
      </c>
      <c r="D193" s="14">
        <v>41100</v>
      </c>
      <c r="E193" s="2">
        <v>415</v>
      </c>
      <c r="F193" s="2">
        <v>1929</v>
      </c>
      <c r="G193" s="2">
        <v>1</v>
      </c>
      <c r="H193" s="2">
        <f t="shared" si="18"/>
        <v>4</v>
      </c>
      <c r="I193" s="2" t="str">
        <f t="shared" si="16"/>
        <v>15</v>
      </c>
      <c r="J193" s="10">
        <f t="shared" si="19"/>
        <v>0.17708333333333334</v>
      </c>
      <c r="K193" s="2">
        <f t="shared" si="20"/>
        <v>19</v>
      </c>
      <c r="L193">
        <f t="shared" si="21"/>
        <v>29</v>
      </c>
      <c r="M193" s="10">
        <f t="shared" si="22"/>
        <v>0.81180555555555556</v>
      </c>
      <c r="N193" s="12">
        <f t="shared" si="23"/>
        <v>15.233333333333333</v>
      </c>
    </row>
    <row r="194" spans="1:14">
      <c r="A194" s="2">
        <f t="shared" si="17"/>
        <v>203</v>
      </c>
      <c r="B194" s="2">
        <v>193</v>
      </c>
      <c r="C194" s="13">
        <v>40736</v>
      </c>
      <c r="D194" s="14">
        <v>41101</v>
      </c>
      <c r="E194" s="2">
        <v>416</v>
      </c>
      <c r="F194" s="2">
        <v>1929</v>
      </c>
      <c r="G194" s="2">
        <v>1</v>
      </c>
      <c r="H194" s="2">
        <f t="shared" si="18"/>
        <v>4</v>
      </c>
      <c r="I194" s="2" t="str">
        <f t="shared" ref="I194:I257" si="24">RIGHT(E194,2)</f>
        <v>16</v>
      </c>
      <c r="J194" s="10">
        <f t="shared" si="19"/>
        <v>0.17777777777777778</v>
      </c>
      <c r="K194" s="2">
        <f t="shared" si="20"/>
        <v>19</v>
      </c>
      <c r="L194">
        <f t="shared" si="21"/>
        <v>29</v>
      </c>
      <c r="M194" s="10">
        <f t="shared" si="22"/>
        <v>0.81180555555555556</v>
      </c>
      <c r="N194" s="12">
        <f t="shared" si="23"/>
        <v>15.216666666666665</v>
      </c>
    </row>
    <row r="195" spans="1:14">
      <c r="A195" s="2">
        <f t="shared" ref="A195:A258" si="25">B195+10</f>
        <v>204</v>
      </c>
      <c r="B195" s="2">
        <v>194</v>
      </c>
      <c r="C195" s="13">
        <v>40737</v>
      </c>
      <c r="D195" s="14">
        <v>41102</v>
      </c>
      <c r="E195" s="2">
        <v>417</v>
      </c>
      <c r="F195" s="2">
        <v>1928</v>
      </c>
      <c r="G195" s="2">
        <v>1</v>
      </c>
      <c r="H195" s="2">
        <f t="shared" ref="H195:H258" si="26">VALUE(LEFT(E195,1))</f>
        <v>4</v>
      </c>
      <c r="I195" s="2" t="str">
        <f t="shared" si="24"/>
        <v>17</v>
      </c>
      <c r="J195" s="10">
        <f t="shared" ref="J195:J258" si="27">TIME(H195,I195,0)</f>
        <v>0.17847222222222223</v>
      </c>
      <c r="K195" s="2">
        <f t="shared" ref="K195:K258" si="28">VALUE(LEFT(F195,2))</f>
        <v>19</v>
      </c>
      <c r="L195">
        <f t="shared" ref="L195:L258" si="29">VALUE(RIGHT(F195,2))</f>
        <v>28</v>
      </c>
      <c r="M195" s="10">
        <f t="shared" ref="M195:M258" si="30">TIME(K195,L195,0)</f>
        <v>0.81111111111111112</v>
      </c>
      <c r="N195" s="12">
        <f t="shared" ref="N195:N258" si="31">(M195-J195)*24</f>
        <v>15.183333333333334</v>
      </c>
    </row>
    <row r="196" spans="1:14">
      <c r="A196" s="2">
        <f t="shared" si="25"/>
        <v>205</v>
      </c>
      <c r="B196" s="2">
        <v>195</v>
      </c>
      <c r="C196" s="13">
        <v>40738</v>
      </c>
      <c r="D196" s="14">
        <v>41103</v>
      </c>
      <c r="E196" s="2">
        <v>417</v>
      </c>
      <c r="F196" s="2">
        <v>1927</v>
      </c>
      <c r="G196" s="2">
        <v>1</v>
      </c>
      <c r="H196" s="2">
        <f t="shared" si="26"/>
        <v>4</v>
      </c>
      <c r="I196" s="2" t="str">
        <f t="shared" si="24"/>
        <v>17</v>
      </c>
      <c r="J196" s="10">
        <f t="shared" si="27"/>
        <v>0.17847222222222223</v>
      </c>
      <c r="K196" s="2">
        <f t="shared" si="28"/>
        <v>19</v>
      </c>
      <c r="L196">
        <f t="shared" si="29"/>
        <v>27</v>
      </c>
      <c r="M196" s="10">
        <f t="shared" si="30"/>
        <v>0.81041666666666667</v>
      </c>
      <c r="N196" s="12">
        <f t="shared" si="31"/>
        <v>15.166666666666666</v>
      </c>
    </row>
    <row r="197" spans="1:14">
      <c r="A197" s="2">
        <f t="shared" si="25"/>
        <v>206</v>
      </c>
      <c r="B197" s="2">
        <v>196</v>
      </c>
      <c r="C197" s="13">
        <v>40739</v>
      </c>
      <c r="D197" s="14">
        <v>41104</v>
      </c>
      <c r="E197" s="2">
        <v>418</v>
      </c>
      <c r="F197" s="2">
        <v>1927</v>
      </c>
      <c r="G197" s="2">
        <v>1</v>
      </c>
      <c r="H197" s="2">
        <f t="shared" si="26"/>
        <v>4</v>
      </c>
      <c r="I197" s="2" t="str">
        <f t="shared" si="24"/>
        <v>18</v>
      </c>
      <c r="J197" s="10">
        <f t="shared" si="27"/>
        <v>0.17916666666666667</v>
      </c>
      <c r="K197" s="2">
        <f t="shared" si="28"/>
        <v>19</v>
      </c>
      <c r="L197">
        <f t="shared" si="29"/>
        <v>27</v>
      </c>
      <c r="M197" s="10">
        <f t="shared" si="30"/>
        <v>0.81041666666666667</v>
      </c>
      <c r="N197" s="12">
        <f t="shared" si="31"/>
        <v>15.149999999999999</v>
      </c>
    </row>
    <row r="198" spans="1:14">
      <c r="A198" s="2">
        <f t="shared" si="25"/>
        <v>207</v>
      </c>
      <c r="B198" s="2">
        <v>197</v>
      </c>
      <c r="C198" s="13">
        <v>40740</v>
      </c>
      <c r="D198" s="14">
        <v>41105</v>
      </c>
      <c r="E198" s="2">
        <v>419</v>
      </c>
      <c r="F198" s="2">
        <v>1926</v>
      </c>
      <c r="G198" s="2">
        <v>1</v>
      </c>
      <c r="H198" s="2">
        <f t="shared" si="26"/>
        <v>4</v>
      </c>
      <c r="I198" s="2" t="str">
        <f t="shared" si="24"/>
        <v>19</v>
      </c>
      <c r="J198" s="10">
        <f t="shared" si="27"/>
        <v>0.17986111111111111</v>
      </c>
      <c r="K198" s="2">
        <f t="shared" si="28"/>
        <v>19</v>
      </c>
      <c r="L198">
        <f t="shared" si="29"/>
        <v>26</v>
      </c>
      <c r="M198" s="10">
        <f t="shared" si="30"/>
        <v>0.80972222222222223</v>
      </c>
      <c r="N198" s="12">
        <f t="shared" si="31"/>
        <v>15.116666666666667</v>
      </c>
    </row>
    <row r="199" spans="1:14">
      <c r="A199" s="2">
        <f t="shared" si="25"/>
        <v>208</v>
      </c>
      <c r="B199" s="2">
        <v>198</v>
      </c>
      <c r="C199" s="13">
        <v>40741</v>
      </c>
      <c r="D199" s="14">
        <v>41106</v>
      </c>
      <c r="E199" s="2">
        <v>420</v>
      </c>
      <c r="F199" s="2">
        <v>1925</v>
      </c>
      <c r="G199" s="2">
        <v>1</v>
      </c>
      <c r="H199" s="2">
        <f t="shared" si="26"/>
        <v>4</v>
      </c>
      <c r="I199" s="2" t="str">
        <f t="shared" si="24"/>
        <v>20</v>
      </c>
      <c r="J199" s="10">
        <f t="shared" si="27"/>
        <v>0.18055555555555555</v>
      </c>
      <c r="K199" s="2">
        <f t="shared" si="28"/>
        <v>19</v>
      </c>
      <c r="L199">
        <f t="shared" si="29"/>
        <v>25</v>
      </c>
      <c r="M199" s="10">
        <f t="shared" si="30"/>
        <v>0.80902777777777779</v>
      </c>
      <c r="N199" s="12">
        <f t="shared" si="31"/>
        <v>15.083333333333332</v>
      </c>
    </row>
    <row r="200" spans="1:14">
      <c r="A200" s="2">
        <f t="shared" si="25"/>
        <v>209</v>
      </c>
      <c r="B200" s="2">
        <v>199</v>
      </c>
      <c r="C200" s="13">
        <v>40742</v>
      </c>
      <c r="D200" s="14">
        <v>41107</v>
      </c>
      <c r="E200" s="2">
        <v>421</v>
      </c>
      <c r="F200" s="2">
        <v>1924</v>
      </c>
      <c r="G200" s="2">
        <v>1</v>
      </c>
      <c r="H200" s="2">
        <f t="shared" si="26"/>
        <v>4</v>
      </c>
      <c r="I200" s="2" t="str">
        <f t="shared" si="24"/>
        <v>21</v>
      </c>
      <c r="J200" s="10">
        <f t="shared" si="27"/>
        <v>0.18124999999999999</v>
      </c>
      <c r="K200" s="2">
        <f t="shared" si="28"/>
        <v>19</v>
      </c>
      <c r="L200">
        <f t="shared" si="29"/>
        <v>24</v>
      </c>
      <c r="M200" s="10">
        <f t="shared" si="30"/>
        <v>0.80833333333333335</v>
      </c>
      <c r="N200" s="12">
        <f t="shared" si="31"/>
        <v>15.05</v>
      </c>
    </row>
    <row r="201" spans="1:14">
      <c r="A201" s="2">
        <f t="shared" si="25"/>
        <v>210</v>
      </c>
      <c r="B201" s="2">
        <v>200</v>
      </c>
      <c r="C201" s="13">
        <v>40743</v>
      </c>
      <c r="D201" s="14">
        <v>41108</v>
      </c>
      <c r="E201" s="2">
        <v>422</v>
      </c>
      <c r="F201" s="2">
        <v>1924</v>
      </c>
      <c r="G201" s="2">
        <v>1</v>
      </c>
      <c r="H201" s="2">
        <f t="shared" si="26"/>
        <v>4</v>
      </c>
      <c r="I201" s="2" t="str">
        <f t="shared" si="24"/>
        <v>22</v>
      </c>
      <c r="J201" s="10">
        <f t="shared" si="27"/>
        <v>0.18194444444444444</v>
      </c>
      <c r="K201" s="2">
        <f t="shared" si="28"/>
        <v>19</v>
      </c>
      <c r="L201">
        <f t="shared" si="29"/>
        <v>24</v>
      </c>
      <c r="M201" s="10">
        <f t="shared" si="30"/>
        <v>0.80833333333333335</v>
      </c>
      <c r="N201" s="12">
        <f t="shared" si="31"/>
        <v>15.033333333333333</v>
      </c>
    </row>
    <row r="202" spans="1:14">
      <c r="A202" s="2">
        <f t="shared" si="25"/>
        <v>211</v>
      </c>
      <c r="B202" s="2">
        <v>201</v>
      </c>
      <c r="C202" s="13">
        <v>40744</v>
      </c>
      <c r="D202" s="14">
        <v>41109</v>
      </c>
      <c r="E202" s="2">
        <v>423</v>
      </c>
      <c r="F202" s="2">
        <v>1923</v>
      </c>
      <c r="G202" s="2">
        <v>1</v>
      </c>
      <c r="H202" s="2">
        <f t="shared" si="26"/>
        <v>4</v>
      </c>
      <c r="I202" s="2" t="str">
        <f t="shared" si="24"/>
        <v>23</v>
      </c>
      <c r="J202" s="10">
        <f t="shared" si="27"/>
        <v>0.18263888888888888</v>
      </c>
      <c r="K202" s="2">
        <f t="shared" si="28"/>
        <v>19</v>
      </c>
      <c r="L202">
        <f t="shared" si="29"/>
        <v>23</v>
      </c>
      <c r="M202" s="10">
        <f t="shared" si="30"/>
        <v>0.80763888888888891</v>
      </c>
      <c r="N202" s="12">
        <f t="shared" si="31"/>
        <v>15</v>
      </c>
    </row>
    <row r="203" spans="1:14">
      <c r="A203" s="2">
        <f t="shared" si="25"/>
        <v>212</v>
      </c>
      <c r="B203" s="2">
        <v>202</v>
      </c>
      <c r="C203" s="13">
        <v>40745</v>
      </c>
      <c r="D203" s="14">
        <v>41110</v>
      </c>
      <c r="E203" s="2">
        <v>424</v>
      </c>
      <c r="F203" s="2">
        <v>1922</v>
      </c>
      <c r="G203" s="2">
        <v>1</v>
      </c>
      <c r="H203" s="2">
        <f t="shared" si="26"/>
        <v>4</v>
      </c>
      <c r="I203" s="2" t="str">
        <f t="shared" si="24"/>
        <v>24</v>
      </c>
      <c r="J203" s="10">
        <f t="shared" si="27"/>
        <v>0.18333333333333332</v>
      </c>
      <c r="K203" s="2">
        <f t="shared" si="28"/>
        <v>19</v>
      </c>
      <c r="L203">
        <f t="shared" si="29"/>
        <v>22</v>
      </c>
      <c r="M203" s="10">
        <f t="shared" si="30"/>
        <v>0.80694444444444446</v>
      </c>
      <c r="N203" s="12">
        <f t="shared" si="31"/>
        <v>14.966666666666667</v>
      </c>
    </row>
    <row r="204" spans="1:14">
      <c r="A204" s="2">
        <f t="shared" si="25"/>
        <v>213</v>
      </c>
      <c r="B204" s="2">
        <v>203</v>
      </c>
      <c r="C204" s="13">
        <v>40746</v>
      </c>
      <c r="D204" s="14">
        <v>41111</v>
      </c>
      <c r="E204" s="2">
        <v>425</v>
      </c>
      <c r="F204" s="2">
        <v>1921</v>
      </c>
      <c r="G204" s="2">
        <v>1</v>
      </c>
      <c r="H204" s="2">
        <f t="shared" si="26"/>
        <v>4</v>
      </c>
      <c r="I204" s="2" t="str">
        <f t="shared" si="24"/>
        <v>25</v>
      </c>
      <c r="J204" s="10">
        <f t="shared" si="27"/>
        <v>0.18402777777777779</v>
      </c>
      <c r="K204" s="2">
        <f t="shared" si="28"/>
        <v>19</v>
      </c>
      <c r="L204">
        <f t="shared" si="29"/>
        <v>21</v>
      </c>
      <c r="M204" s="10">
        <f t="shared" si="30"/>
        <v>0.80625000000000002</v>
      </c>
      <c r="N204" s="12">
        <f t="shared" si="31"/>
        <v>14.933333333333334</v>
      </c>
    </row>
    <row r="205" spans="1:14">
      <c r="A205" s="2">
        <f t="shared" si="25"/>
        <v>214</v>
      </c>
      <c r="B205" s="2">
        <v>204</v>
      </c>
      <c r="C205" s="13">
        <v>40747</v>
      </c>
      <c r="D205" s="14">
        <v>41112</v>
      </c>
      <c r="E205" s="2">
        <v>426</v>
      </c>
      <c r="F205" s="2">
        <v>1920</v>
      </c>
      <c r="G205" s="2">
        <v>1</v>
      </c>
      <c r="H205" s="2">
        <f t="shared" si="26"/>
        <v>4</v>
      </c>
      <c r="I205" s="2" t="str">
        <f t="shared" si="24"/>
        <v>26</v>
      </c>
      <c r="J205" s="10">
        <f t="shared" si="27"/>
        <v>0.18472222222222223</v>
      </c>
      <c r="K205" s="2">
        <f t="shared" si="28"/>
        <v>19</v>
      </c>
      <c r="L205">
        <f t="shared" si="29"/>
        <v>20</v>
      </c>
      <c r="M205" s="10">
        <f t="shared" si="30"/>
        <v>0.80555555555555558</v>
      </c>
      <c r="N205" s="12">
        <f t="shared" si="31"/>
        <v>14.9</v>
      </c>
    </row>
    <row r="206" spans="1:14">
      <c r="A206" s="2">
        <f t="shared" si="25"/>
        <v>215</v>
      </c>
      <c r="B206" s="2">
        <v>205</v>
      </c>
      <c r="C206" s="13">
        <v>40748</v>
      </c>
      <c r="D206" s="14">
        <v>41113</v>
      </c>
      <c r="E206" s="2">
        <v>427</v>
      </c>
      <c r="F206" s="2">
        <v>1919</v>
      </c>
      <c r="G206" s="2">
        <v>1</v>
      </c>
      <c r="H206" s="2">
        <f t="shared" si="26"/>
        <v>4</v>
      </c>
      <c r="I206" s="2" t="str">
        <f t="shared" si="24"/>
        <v>27</v>
      </c>
      <c r="J206" s="10">
        <f t="shared" si="27"/>
        <v>0.18541666666666667</v>
      </c>
      <c r="K206" s="2">
        <f t="shared" si="28"/>
        <v>19</v>
      </c>
      <c r="L206">
        <f t="shared" si="29"/>
        <v>19</v>
      </c>
      <c r="M206" s="10">
        <f t="shared" si="30"/>
        <v>0.80486111111111114</v>
      </c>
      <c r="N206" s="12">
        <f t="shared" si="31"/>
        <v>14.866666666666667</v>
      </c>
    </row>
    <row r="207" spans="1:14">
      <c r="A207" s="2">
        <f t="shared" si="25"/>
        <v>216</v>
      </c>
      <c r="B207" s="2">
        <v>206</v>
      </c>
      <c r="C207" s="13">
        <v>40749</v>
      </c>
      <c r="D207" s="14">
        <v>41114</v>
      </c>
      <c r="E207" s="2">
        <v>428</v>
      </c>
      <c r="F207" s="2">
        <v>1918</v>
      </c>
      <c r="G207" s="2">
        <v>1</v>
      </c>
      <c r="H207" s="2">
        <f t="shared" si="26"/>
        <v>4</v>
      </c>
      <c r="I207" s="2" t="str">
        <f t="shared" si="24"/>
        <v>28</v>
      </c>
      <c r="J207" s="10">
        <f t="shared" si="27"/>
        <v>0.18611111111111112</v>
      </c>
      <c r="K207" s="2">
        <f t="shared" si="28"/>
        <v>19</v>
      </c>
      <c r="L207">
        <f t="shared" si="29"/>
        <v>18</v>
      </c>
      <c r="M207" s="10">
        <f t="shared" si="30"/>
        <v>0.8041666666666667</v>
      </c>
      <c r="N207" s="12">
        <f t="shared" si="31"/>
        <v>14.833333333333334</v>
      </c>
    </row>
    <row r="208" spans="1:14">
      <c r="A208" s="2">
        <f t="shared" si="25"/>
        <v>217</v>
      </c>
      <c r="B208" s="2">
        <v>207</v>
      </c>
      <c r="C208" s="13">
        <v>40750</v>
      </c>
      <c r="D208" s="14">
        <v>41115</v>
      </c>
      <c r="E208" s="2">
        <v>429</v>
      </c>
      <c r="F208" s="2">
        <v>1917</v>
      </c>
      <c r="G208" s="2">
        <v>1</v>
      </c>
      <c r="H208" s="2">
        <f t="shared" si="26"/>
        <v>4</v>
      </c>
      <c r="I208" s="2" t="str">
        <f t="shared" si="24"/>
        <v>29</v>
      </c>
      <c r="J208" s="10">
        <f t="shared" si="27"/>
        <v>0.18680555555555556</v>
      </c>
      <c r="K208" s="2">
        <f t="shared" si="28"/>
        <v>19</v>
      </c>
      <c r="L208">
        <f t="shared" si="29"/>
        <v>17</v>
      </c>
      <c r="M208" s="10">
        <f t="shared" si="30"/>
        <v>0.80347222222222225</v>
      </c>
      <c r="N208" s="12">
        <f t="shared" si="31"/>
        <v>14.8</v>
      </c>
    </row>
    <row r="209" spans="1:14">
      <c r="A209" s="2">
        <f t="shared" si="25"/>
        <v>218</v>
      </c>
      <c r="B209" s="2">
        <v>208</v>
      </c>
      <c r="C209" s="13">
        <v>40751</v>
      </c>
      <c r="D209" s="14">
        <v>41116</v>
      </c>
      <c r="E209" s="2">
        <v>430</v>
      </c>
      <c r="F209" s="2">
        <v>1916</v>
      </c>
      <c r="G209" s="2">
        <v>1</v>
      </c>
      <c r="H209" s="2">
        <f t="shared" si="26"/>
        <v>4</v>
      </c>
      <c r="I209" s="2" t="str">
        <f t="shared" si="24"/>
        <v>30</v>
      </c>
      <c r="J209" s="10">
        <f t="shared" si="27"/>
        <v>0.1875</v>
      </c>
      <c r="K209" s="2">
        <f t="shared" si="28"/>
        <v>19</v>
      </c>
      <c r="L209">
        <f t="shared" si="29"/>
        <v>16</v>
      </c>
      <c r="M209" s="10">
        <f t="shared" si="30"/>
        <v>0.80277777777777781</v>
      </c>
      <c r="N209" s="12">
        <f t="shared" si="31"/>
        <v>14.766666666666667</v>
      </c>
    </row>
    <row r="210" spans="1:14">
      <c r="A210" s="2">
        <f t="shared" si="25"/>
        <v>219</v>
      </c>
      <c r="B210" s="2">
        <v>209</v>
      </c>
      <c r="C210" s="13">
        <v>40752</v>
      </c>
      <c r="D210" s="14">
        <v>41117</v>
      </c>
      <c r="E210" s="2">
        <v>431</v>
      </c>
      <c r="F210" s="2">
        <v>1915</v>
      </c>
      <c r="G210" s="2">
        <v>1</v>
      </c>
      <c r="H210" s="2">
        <f t="shared" si="26"/>
        <v>4</v>
      </c>
      <c r="I210" s="2" t="str">
        <f t="shared" si="24"/>
        <v>31</v>
      </c>
      <c r="J210" s="10">
        <f t="shared" si="27"/>
        <v>0.18819444444444444</v>
      </c>
      <c r="K210" s="2">
        <f t="shared" si="28"/>
        <v>19</v>
      </c>
      <c r="L210">
        <f t="shared" si="29"/>
        <v>15</v>
      </c>
      <c r="M210" s="10">
        <f t="shared" si="30"/>
        <v>0.80208333333333337</v>
      </c>
      <c r="N210" s="12">
        <f t="shared" si="31"/>
        <v>14.733333333333334</v>
      </c>
    </row>
    <row r="211" spans="1:14">
      <c r="A211" s="2">
        <f t="shared" si="25"/>
        <v>220</v>
      </c>
      <c r="B211" s="2">
        <v>210</v>
      </c>
      <c r="C211" s="13">
        <v>40753</v>
      </c>
      <c r="D211" s="14">
        <v>41118</v>
      </c>
      <c r="E211" s="2">
        <v>432</v>
      </c>
      <c r="F211" s="2">
        <v>1914</v>
      </c>
      <c r="G211" s="2">
        <v>1</v>
      </c>
      <c r="H211" s="2">
        <f t="shared" si="26"/>
        <v>4</v>
      </c>
      <c r="I211" s="2" t="str">
        <f t="shared" si="24"/>
        <v>32</v>
      </c>
      <c r="J211" s="10">
        <f t="shared" si="27"/>
        <v>0.18888888888888888</v>
      </c>
      <c r="K211" s="2">
        <f t="shared" si="28"/>
        <v>19</v>
      </c>
      <c r="L211">
        <f t="shared" si="29"/>
        <v>14</v>
      </c>
      <c r="M211" s="10">
        <f t="shared" si="30"/>
        <v>0.80138888888888893</v>
      </c>
      <c r="N211" s="12">
        <f t="shared" si="31"/>
        <v>14.700000000000001</v>
      </c>
    </row>
    <row r="212" spans="1:14">
      <c r="A212" s="2">
        <f t="shared" si="25"/>
        <v>221</v>
      </c>
      <c r="B212" s="2">
        <v>211</v>
      </c>
      <c r="C212" s="13">
        <v>40754</v>
      </c>
      <c r="D212" s="14">
        <v>41119</v>
      </c>
      <c r="E212" s="2">
        <v>433</v>
      </c>
      <c r="F212" s="2">
        <v>1913</v>
      </c>
      <c r="G212" s="2">
        <v>1</v>
      </c>
      <c r="H212" s="2">
        <f t="shared" si="26"/>
        <v>4</v>
      </c>
      <c r="I212" s="2" t="str">
        <f t="shared" si="24"/>
        <v>33</v>
      </c>
      <c r="J212" s="10">
        <f t="shared" si="27"/>
        <v>0.18958333333333333</v>
      </c>
      <c r="K212" s="2">
        <f t="shared" si="28"/>
        <v>19</v>
      </c>
      <c r="L212">
        <f t="shared" si="29"/>
        <v>13</v>
      </c>
      <c r="M212" s="10">
        <f t="shared" si="30"/>
        <v>0.80069444444444449</v>
      </c>
      <c r="N212" s="12">
        <f t="shared" si="31"/>
        <v>14.666666666666668</v>
      </c>
    </row>
    <row r="213" spans="1:14">
      <c r="A213" s="2">
        <f t="shared" si="25"/>
        <v>222</v>
      </c>
      <c r="B213" s="2">
        <v>212</v>
      </c>
      <c r="C213" s="13">
        <v>40755</v>
      </c>
      <c r="D213" s="14">
        <v>41120</v>
      </c>
      <c r="E213" s="2">
        <v>434</v>
      </c>
      <c r="F213" s="2">
        <v>1912</v>
      </c>
      <c r="G213" s="2">
        <v>1</v>
      </c>
      <c r="H213" s="2">
        <f t="shared" si="26"/>
        <v>4</v>
      </c>
      <c r="I213" s="2" t="str">
        <f t="shared" si="24"/>
        <v>34</v>
      </c>
      <c r="J213" s="10">
        <f t="shared" si="27"/>
        <v>0.19027777777777777</v>
      </c>
      <c r="K213" s="2">
        <f t="shared" si="28"/>
        <v>19</v>
      </c>
      <c r="L213">
        <f t="shared" si="29"/>
        <v>12</v>
      </c>
      <c r="M213" s="10">
        <f t="shared" si="30"/>
        <v>0.8</v>
      </c>
      <c r="N213" s="12">
        <f t="shared" si="31"/>
        <v>14.633333333333335</v>
      </c>
    </row>
    <row r="214" spans="1:14">
      <c r="A214" s="2">
        <f t="shared" si="25"/>
        <v>223</v>
      </c>
      <c r="B214" s="2">
        <v>213</v>
      </c>
      <c r="C214" s="13">
        <v>40756</v>
      </c>
      <c r="D214" s="14">
        <v>41121</v>
      </c>
      <c r="E214" s="2">
        <v>435</v>
      </c>
      <c r="F214" s="2">
        <v>1911</v>
      </c>
      <c r="G214" s="2">
        <v>1</v>
      </c>
      <c r="H214" s="2">
        <f t="shared" si="26"/>
        <v>4</v>
      </c>
      <c r="I214" s="2" t="str">
        <f t="shared" si="24"/>
        <v>35</v>
      </c>
      <c r="J214" s="10">
        <f t="shared" si="27"/>
        <v>0.19097222222222221</v>
      </c>
      <c r="K214" s="2">
        <f t="shared" si="28"/>
        <v>19</v>
      </c>
      <c r="L214">
        <f t="shared" si="29"/>
        <v>11</v>
      </c>
      <c r="M214" s="10">
        <f t="shared" si="30"/>
        <v>0.7993055555555556</v>
      </c>
      <c r="N214" s="12">
        <f t="shared" si="31"/>
        <v>14.600000000000001</v>
      </c>
    </row>
    <row r="215" spans="1:14">
      <c r="A215" s="2">
        <f t="shared" si="25"/>
        <v>224</v>
      </c>
      <c r="B215" s="2">
        <v>214</v>
      </c>
      <c r="C215" s="13">
        <v>40757</v>
      </c>
      <c r="D215" s="14">
        <v>41122</v>
      </c>
      <c r="E215" s="2">
        <v>436</v>
      </c>
      <c r="F215" s="2">
        <v>1909</v>
      </c>
      <c r="G215" s="2">
        <v>1</v>
      </c>
      <c r="H215" s="2">
        <f t="shared" si="26"/>
        <v>4</v>
      </c>
      <c r="I215" s="2" t="str">
        <f t="shared" si="24"/>
        <v>36</v>
      </c>
      <c r="J215" s="10">
        <f t="shared" si="27"/>
        <v>0.19166666666666668</v>
      </c>
      <c r="K215" s="2">
        <f t="shared" si="28"/>
        <v>19</v>
      </c>
      <c r="L215">
        <f t="shared" si="29"/>
        <v>9</v>
      </c>
      <c r="M215" s="10">
        <f t="shared" si="30"/>
        <v>0.79791666666666672</v>
      </c>
      <c r="N215" s="12">
        <f t="shared" si="31"/>
        <v>14.55</v>
      </c>
    </row>
    <row r="216" spans="1:14">
      <c r="A216" s="2">
        <f t="shared" si="25"/>
        <v>225</v>
      </c>
      <c r="B216" s="2">
        <v>215</v>
      </c>
      <c r="C216" s="13">
        <v>40758</v>
      </c>
      <c r="D216" s="14">
        <v>41123</v>
      </c>
      <c r="E216" s="2">
        <v>437</v>
      </c>
      <c r="F216" s="2">
        <v>1908</v>
      </c>
      <c r="G216" s="2">
        <v>1</v>
      </c>
      <c r="H216" s="2">
        <f t="shared" si="26"/>
        <v>4</v>
      </c>
      <c r="I216" s="2" t="str">
        <f t="shared" si="24"/>
        <v>37</v>
      </c>
      <c r="J216" s="10">
        <f t="shared" si="27"/>
        <v>0.19236111111111112</v>
      </c>
      <c r="K216" s="2">
        <f t="shared" si="28"/>
        <v>19</v>
      </c>
      <c r="L216">
        <f t="shared" si="29"/>
        <v>8</v>
      </c>
      <c r="M216" s="10">
        <f t="shared" si="30"/>
        <v>0.79722222222222228</v>
      </c>
      <c r="N216" s="12">
        <f t="shared" si="31"/>
        <v>14.516666666666669</v>
      </c>
    </row>
    <row r="217" spans="1:14">
      <c r="A217" s="2">
        <f t="shared" si="25"/>
        <v>226</v>
      </c>
      <c r="B217" s="2">
        <v>216</v>
      </c>
      <c r="C217" s="13">
        <v>40759</v>
      </c>
      <c r="D217" s="14">
        <v>41124</v>
      </c>
      <c r="E217" s="2">
        <v>438</v>
      </c>
      <c r="F217" s="2">
        <v>1907</v>
      </c>
      <c r="G217" s="2">
        <v>1</v>
      </c>
      <c r="H217" s="2">
        <f t="shared" si="26"/>
        <v>4</v>
      </c>
      <c r="I217" s="2" t="str">
        <f t="shared" si="24"/>
        <v>38</v>
      </c>
      <c r="J217" s="10">
        <f t="shared" si="27"/>
        <v>0.19305555555555556</v>
      </c>
      <c r="K217" s="2">
        <f t="shared" si="28"/>
        <v>19</v>
      </c>
      <c r="L217">
        <f t="shared" si="29"/>
        <v>7</v>
      </c>
      <c r="M217" s="10">
        <f t="shared" si="30"/>
        <v>0.79652777777777772</v>
      </c>
      <c r="N217" s="12">
        <f t="shared" si="31"/>
        <v>14.483333333333333</v>
      </c>
    </row>
    <row r="218" spans="1:14">
      <c r="A218" s="2">
        <f t="shared" si="25"/>
        <v>227</v>
      </c>
      <c r="B218" s="2">
        <v>217</v>
      </c>
      <c r="C218" s="13">
        <v>40760</v>
      </c>
      <c r="D218" s="14">
        <v>41125</v>
      </c>
      <c r="E218" s="2">
        <v>439</v>
      </c>
      <c r="F218" s="2">
        <v>1905</v>
      </c>
      <c r="G218" s="2">
        <v>1</v>
      </c>
      <c r="H218" s="2">
        <f t="shared" si="26"/>
        <v>4</v>
      </c>
      <c r="I218" s="2" t="str">
        <f t="shared" si="24"/>
        <v>39</v>
      </c>
      <c r="J218" s="10">
        <f t="shared" si="27"/>
        <v>0.19375000000000001</v>
      </c>
      <c r="K218" s="2">
        <f t="shared" si="28"/>
        <v>19</v>
      </c>
      <c r="L218">
        <f t="shared" si="29"/>
        <v>5</v>
      </c>
      <c r="M218" s="10">
        <f t="shared" si="30"/>
        <v>0.79513888888888884</v>
      </c>
      <c r="N218" s="12">
        <f t="shared" si="31"/>
        <v>14.433333333333334</v>
      </c>
    </row>
    <row r="219" spans="1:14">
      <c r="A219" s="2">
        <f t="shared" si="25"/>
        <v>228</v>
      </c>
      <c r="B219" s="2">
        <v>218</v>
      </c>
      <c r="C219" s="13">
        <v>40761</v>
      </c>
      <c r="D219" s="14">
        <v>41126</v>
      </c>
      <c r="E219" s="2">
        <v>440</v>
      </c>
      <c r="F219" s="2">
        <v>1904</v>
      </c>
      <c r="G219" s="2">
        <v>1</v>
      </c>
      <c r="H219" s="2">
        <f t="shared" si="26"/>
        <v>4</v>
      </c>
      <c r="I219" s="2" t="str">
        <f t="shared" si="24"/>
        <v>40</v>
      </c>
      <c r="J219" s="10">
        <f t="shared" si="27"/>
        <v>0.19444444444444445</v>
      </c>
      <c r="K219" s="2">
        <f t="shared" si="28"/>
        <v>19</v>
      </c>
      <c r="L219">
        <f t="shared" si="29"/>
        <v>4</v>
      </c>
      <c r="M219" s="10">
        <f t="shared" si="30"/>
        <v>0.7944444444444444</v>
      </c>
      <c r="N219" s="12">
        <f t="shared" si="31"/>
        <v>14.399999999999999</v>
      </c>
    </row>
    <row r="220" spans="1:14">
      <c r="A220" s="2">
        <f t="shared" si="25"/>
        <v>229</v>
      </c>
      <c r="B220" s="2">
        <v>219</v>
      </c>
      <c r="C220" s="13">
        <v>40762</v>
      </c>
      <c r="D220" s="14">
        <v>41127</v>
      </c>
      <c r="E220" s="2">
        <v>442</v>
      </c>
      <c r="F220" s="2">
        <v>1903</v>
      </c>
      <c r="G220" s="2">
        <v>1</v>
      </c>
      <c r="H220" s="2">
        <f t="shared" si="26"/>
        <v>4</v>
      </c>
      <c r="I220" s="2" t="str">
        <f t="shared" si="24"/>
        <v>42</v>
      </c>
      <c r="J220" s="10">
        <f t="shared" si="27"/>
        <v>0.19583333333333333</v>
      </c>
      <c r="K220" s="2">
        <f t="shared" si="28"/>
        <v>19</v>
      </c>
      <c r="L220">
        <f t="shared" si="29"/>
        <v>3</v>
      </c>
      <c r="M220" s="10">
        <f t="shared" si="30"/>
        <v>0.79374999999999996</v>
      </c>
      <c r="N220" s="12">
        <f t="shared" si="31"/>
        <v>14.35</v>
      </c>
    </row>
    <row r="221" spans="1:14">
      <c r="A221" s="2">
        <f t="shared" si="25"/>
        <v>230</v>
      </c>
      <c r="B221" s="2">
        <v>220</v>
      </c>
      <c r="C221" s="13">
        <v>40763</v>
      </c>
      <c r="D221" s="14">
        <v>41128</v>
      </c>
      <c r="E221" s="2">
        <v>443</v>
      </c>
      <c r="F221" s="2">
        <v>1901</v>
      </c>
      <c r="G221" s="2">
        <v>1</v>
      </c>
      <c r="H221" s="2">
        <f t="shared" si="26"/>
        <v>4</v>
      </c>
      <c r="I221" s="2" t="str">
        <f t="shared" si="24"/>
        <v>43</v>
      </c>
      <c r="J221" s="10">
        <f t="shared" si="27"/>
        <v>0.19652777777777777</v>
      </c>
      <c r="K221" s="2">
        <f t="shared" si="28"/>
        <v>19</v>
      </c>
      <c r="L221">
        <f t="shared" si="29"/>
        <v>1</v>
      </c>
      <c r="M221" s="10">
        <f t="shared" si="30"/>
        <v>0.79236111111111107</v>
      </c>
      <c r="N221" s="12">
        <f t="shared" si="31"/>
        <v>14.3</v>
      </c>
    </row>
    <row r="222" spans="1:14">
      <c r="A222" s="2">
        <f t="shared" si="25"/>
        <v>231</v>
      </c>
      <c r="B222" s="2">
        <v>221</v>
      </c>
      <c r="C222" s="13">
        <v>40764</v>
      </c>
      <c r="D222" s="14">
        <v>41129</v>
      </c>
      <c r="E222" s="2">
        <v>444</v>
      </c>
      <c r="F222" s="2">
        <v>1900</v>
      </c>
      <c r="G222" s="2">
        <v>1</v>
      </c>
      <c r="H222" s="2">
        <f t="shared" si="26"/>
        <v>4</v>
      </c>
      <c r="I222" s="2" t="str">
        <f t="shared" si="24"/>
        <v>44</v>
      </c>
      <c r="J222" s="10">
        <f t="shared" si="27"/>
        <v>0.19722222222222222</v>
      </c>
      <c r="K222" s="2">
        <f t="shared" si="28"/>
        <v>19</v>
      </c>
      <c r="L222">
        <f t="shared" si="29"/>
        <v>0</v>
      </c>
      <c r="M222" s="10">
        <f t="shared" si="30"/>
        <v>0.79166666666666663</v>
      </c>
      <c r="N222" s="12">
        <f t="shared" si="31"/>
        <v>14.266666666666666</v>
      </c>
    </row>
    <row r="223" spans="1:14">
      <c r="A223" s="2">
        <f t="shared" si="25"/>
        <v>232</v>
      </c>
      <c r="B223" s="2">
        <v>222</v>
      </c>
      <c r="C223" s="13">
        <v>40765</v>
      </c>
      <c r="D223" s="14">
        <v>41130</v>
      </c>
      <c r="E223" s="2">
        <v>445</v>
      </c>
      <c r="F223" s="2">
        <v>1859</v>
      </c>
      <c r="G223" s="2">
        <v>1</v>
      </c>
      <c r="H223" s="2">
        <f t="shared" si="26"/>
        <v>4</v>
      </c>
      <c r="I223" s="2" t="str">
        <f t="shared" si="24"/>
        <v>45</v>
      </c>
      <c r="J223" s="10">
        <f t="shared" si="27"/>
        <v>0.19791666666666666</v>
      </c>
      <c r="K223" s="2">
        <f t="shared" si="28"/>
        <v>18</v>
      </c>
      <c r="L223">
        <f t="shared" si="29"/>
        <v>59</v>
      </c>
      <c r="M223" s="10">
        <f t="shared" si="30"/>
        <v>0.79097222222222219</v>
      </c>
      <c r="N223" s="12">
        <f t="shared" si="31"/>
        <v>14.233333333333334</v>
      </c>
    </row>
    <row r="224" spans="1:14">
      <c r="A224" s="2">
        <f t="shared" si="25"/>
        <v>233</v>
      </c>
      <c r="B224" s="2">
        <v>223</v>
      </c>
      <c r="C224" s="13">
        <v>40766</v>
      </c>
      <c r="D224" s="14">
        <v>41131</v>
      </c>
      <c r="E224" s="2">
        <v>446</v>
      </c>
      <c r="F224" s="2">
        <v>1857</v>
      </c>
      <c r="G224" s="2">
        <v>1</v>
      </c>
      <c r="H224" s="2">
        <f t="shared" si="26"/>
        <v>4</v>
      </c>
      <c r="I224" s="2" t="str">
        <f t="shared" si="24"/>
        <v>46</v>
      </c>
      <c r="J224" s="10">
        <f t="shared" si="27"/>
        <v>0.1986111111111111</v>
      </c>
      <c r="K224" s="2">
        <f t="shared" si="28"/>
        <v>18</v>
      </c>
      <c r="L224">
        <f t="shared" si="29"/>
        <v>57</v>
      </c>
      <c r="M224" s="10">
        <f t="shared" si="30"/>
        <v>0.7895833333333333</v>
      </c>
      <c r="N224" s="12">
        <f t="shared" si="31"/>
        <v>14.183333333333334</v>
      </c>
    </row>
    <row r="225" spans="1:14">
      <c r="A225" s="2">
        <f t="shared" si="25"/>
        <v>234</v>
      </c>
      <c r="B225" s="2">
        <v>224</v>
      </c>
      <c r="C225" s="13">
        <v>40767</v>
      </c>
      <c r="D225" s="14">
        <v>41132</v>
      </c>
      <c r="E225" s="2">
        <v>447</v>
      </c>
      <c r="F225" s="2">
        <v>1856</v>
      </c>
      <c r="G225" s="2">
        <v>1</v>
      </c>
      <c r="H225" s="2">
        <f t="shared" si="26"/>
        <v>4</v>
      </c>
      <c r="I225" s="2" t="str">
        <f t="shared" si="24"/>
        <v>47</v>
      </c>
      <c r="J225" s="10">
        <f t="shared" si="27"/>
        <v>0.19930555555555557</v>
      </c>
      <c r="K225" s="2">
        <f t="shared" si="28"/>
        <v>18</v>
      </c>
      <c r="L225">
        <f t="shared" si="29"/>
        <v>56</v>
      </c>
      <c r="M225" s="10">
        <f t="shared" si="30"/>
        <v>0.78888888888888886</v>
      </c>
      <c r="N225" s="12">
        <f t="shared" si="31"/>
        <v>14.15</v>
      </c>
    </row>
    <row r="226" spans="1:14">
      <c r="A226" s="2">
        <f t="shared" si="25"/>
        <v>235</v>
      </c>
      <c r="B226" s="2">
        <v>225</v>
      </c>
      <c r="C226" s="13">
        <v>40768</v>
      </c>
      <c r="D226" s="14">
        <v>41133</v>
      </c>
      <c r="E226" s="2">
        <v>448</v>
      </c>
      <c r="F226" s="2">
        <v>1854</v>
      </c>
      <c r="G226" s="2">
        <v>1</v>
      </c>
      <c r="H226" s="2">
        <f t="shared" si="26"/>
        <v>4</v>
      </c>
      <c r="I226" s="2" t="str">
        <f t="shared" si="24"/>
        <v>48</v>
      </c>
      <c r="J226" s="10">
        <f t="shared" si="27"/>
        <v>0.2</v>
      </c>
      <c r="K226" s="2">
        <f t="shared" si="28"/>
        <v>18</v>
      </c>
      <c r="L226">
        <f t="shared" si="29"/>
        <v>54</v>
      </c>
      <c r="M226" s="10">
        <f t="shared" si="30"/>
        <v>0.78749999999999998</v>
      </c>
      <c r="N226" s="12">
        <f t="shared" si="31"/>
        <v>14.099999999999998</v>
      </c>
    </row>
    <row r="227" spans="1:14">
      <c r="A227" s="2">
        <f t="shared" si="25"/>
        <v>236</v>
      </c>
      <c r="B227" s="2">
        <v>226</v>
      </c>
      <c r="C227" s="13">
        <v>40769</v>
      </c>
      <c r="D227" s="14">
        <v>41134</v>
      </c>
      <c r="E227" s="2">
        <v>449</v>
      </c>
      <c r="F227" s="2">
        <v>1853</v>
      </c>
      <c r="G227" s="2">
        <v>1</v>
      </c>
      <c r="H227" s="2">
        <f t="shared" si="26"/>
        <v>4</v>
      </c>
      <c r="I227" s="2" t="str">
        <f t="shared" si="24"/>
        <v>49</v>
      </c>
      <c r="J227" s="10">
        <f t="shared" si="27"/>
        <v>0.20069444444444445</v>
      </c>
      <c r="K227" s="2">
        <f t="shared" si="28"/>
        <v>18</v>
      </c>
      <c r="L227">
        <f t="shared" si="29"/>
        <v>53</v>
      </c>
      <c r="M227" s="10">
        <f t="shared" si="30"/>
        <v>0.78680555555555554</v>
      </c>
      <c r="N227" s="12">
        <f t="shared" si="31"/>
        <v>14.066666666666665</v>
      </c>
    </row>
    <row r="228" spans="1:14">
      <c r="A228" s="2">
        <f t="shared" si="25"/>
        <v>237</v>
      </c>
      <c r="B228" s="2">
        <v>227</v>
      </c>
      <c r="C228" s="13">
        <v>40770</v>
      </c>
      <c r="D228" s="14">
        <v>41135</v>
      </c>
      <c r="E228" s="2">
        <v>451</v>
      </c>
      <c r="F228" s="2">
        <v>1851</v>
      </c>
      <c r="G228" s="2">
        <v>1</v>
      </c>
      <c r="H228" s="2">
        <f t="shared" si="26"/>
        <v>4</v>
      </c>
      <c r="I228" s="2" t="str">
        <f t="shared" si="24"/>
        <v>51</v>
      </c>
      <c r="J228" s="10">
        <f t="shared" si="27"/>
        <v>0.20208333333333334</v>
      </c>
      <c r="K228" s="2">
        <f t="shared" si="28"/>
        <v>18</v>
      </c>
      <c r="L228">
        <f t="shared" si="29"/>
        <v>51</v>
      </c>
      <c r="M228" s="10">
        <f t="shared" si="30"/>
        <v>0.78541666666666665</v>
      </c>
      <c r="N228" s="12">
        <f t="shared" si="31"/>
        <v>13.999999999999998</v>
      </c>
    </row>
    <row r="229" spans="1:14">
      <c r="A229" s="2">
        <f t="shared" si="25"/>
        <v>238</v>
      </c>
      <c r="B229" s="2">
        <v>228</v>
      </c>
      <c r="C229" s="13">
        <v>40771</v>
      </c>
      <c r="D229" s="14">
        <v>41136</v>
      </c>
      <c r="E229" s="2">
        <v>452</v>
      </c>
      <c r="F229" s="2">
        <v>1850</v>
      </c>
      <c r="G229" s="2">
        <v>1</v>
      </c>
      <c r="H229" s="2">
        <f t="shared" si="26"/>
        <v>4</v>
      </c>
      <c r="I229" s="2" t="str">
        <f t="shared" si="24"/>
        <v>52</v>
      </c>
      <c r="J229" s="10">
        <f t="shared" si="27"/>
        <v>0.20277777777777778</v>
      </c>
      <c r="K229" s="2">
        <f t="shared" si="28"/>
        <v>18</v>
      </c>
      <c r="L229">
        <f t="shared" si="29"/>
        <v>50</v>
      </c>
      <c r="M229" s="10">
        <f t="shared" si="30"/>
        <v>0.78472222222222221</v>
      </c>
      <c r="N229" s="12">
        <f t="shared" si="31"/>
        <v>13.966666666666665</v>
      </c>
    </row>
    <row r="230" spans="1:14">
      <c r="A230" s="2">
        <f t="shared" si="25"/>
        <v>239</v>
      </c>
      <c r="B230" s="2">
        <v>229</v>
      </c>
      <c r="C230" s="13">
        <v>40772</v>
      </c>
      <c r="D230" s="14">
        <v>41137</v>
      </c>
      <c r="E230" s="2">
        <v>453</v>
      </c>
      <c r="F230" s="2">
        <v>1848</v>
      </c>
      <c r="G230" s="2">
        <v>1</v>
      </c>
      <c r="H230" s="2">
        <f t="shared" si="26"/>
        <v>4</v>
      </c>
      <c r="I230" s="2" t="str">
        <f t="shared" si="24"/>
        <v>53</v>
      </c>
      <c r="J230" s="10">
        <f t="shared" si="27"/>
        <v>0.20347222222222222</v>
      </c>
      <c r="K230" s="2">
        <f t="shared" si="28"/>
        <v>18</v>
      </c>
      <c r="L230">
        <f t="shared" si="29"/>
        <v>48</v>
      </c>
      <c r="M230" s="10">
        <f t="shared" si="30"/>
        <v>0.78333333333333333</v>
      </c>
      <c r="N230" s="12">
        <f t="shared" si="31"/>
        <v>13.916666666666668</v>
      </c>
    </row>
    <row r="231" spans="1:14">
      <c r="A231" s="2">
        <f t="shared" si="25"/>
        <v>240</v>
      </c>
      <c r="B231" s="2">
        <v>230</v>
      </c>
      <c r="C231" s="13">
        <v>40773</v>
      </c>
      <c r="D231" s="14">
        <v>41138</v>
      </c>
      <c r="E231" s="2">
        <v>454</v>
      </c>
      <c r="F231" s="2">
        <v>1847</v>
      </c>
      <c r="G231" s="2">
        <v>1</v>
      </c>
      <c r="H231" s="2">
        <f t="shared" si="26"/>
        <v>4</v>
      </c>
      <c r="I231" s="2" t="str">
        <f t="shared" si="24"/>
        <v>54</v>
      </c>
      <c r="J231" s="10">
        <f t="shared" si="27"/>
        <v>0.20416666666666666</v>
      </c>
      <c r="K231" s="2">
        <f t="shared" si="28"/>
        <v>18</v>
      </c>
      <c r="L231">
        <f t="shared" si="29"/>
        <v>47</v>
      </c>
      <c r="M231" s="10">
        <f t="shared" si="30"/>
        <v>0.78263888888888888</v>
      </c>
      <c r="N231" s="12">
        <f t="shared" si="31"/>
        <v>13.883333333333335</v>
      </c>
    </row>
    <row r="232" spans="1:14">
      <c r="A232" s="2">
        <f t="shared" si="25"/>
        <v>241</v>
      </c>
      <c r="B232" s="2">
        <v>231</v>
      </c>
      <c r="C232" s="13">
        <v>40774</v>
      </c>
      <c r="D232" s="14">
        <v>41139</v>
      </c>
      <c r="E232" s="2">
        <v>455</v>
      </c>
      <c r="F232" s="2">
        <v>1845</v>
      </c>
      <c r="G232" s="2">
        <v>1</v>
      </c>
      <c r="H232" s="2">
        <f t="shared" si="26"/>
        <v>4</v>
      </c>
      <c r="I232" s="2" t="str">
        <f t="shared" si="24"/>
        <v>55</v>
      </c>
      <c r="J232" s="10">
        <f t="shared" si="27"/>
        <v>0.2048611111111111</v>
      </c>
      <c r="K232" s="2">
        <f t="shared" si="28"/>
        <v>18</v>
      </c>
      <c r="L232">
        <f t="shared" si="29"/>
        <v>45</v>
      </c>
      <c r="M232" s="10">
        <f t="shared" si="30"/>
        <v>0.78125</v>
      </c>
      <c r="N232" s="12">
        <f t="shared" si="31"/>
        <v>13.833333333333332</v>
      </c>
    </row>
    <row r="233" spans="1:14">
      <c r="A233" s="2">
        <f t="shared" si="25"/>
        <v>242</v>
      </c>
      <c r="B233" s="2">
        <v>232</v>
      </c>
      <c r="C233" s="13">
        <v>40775</v>
      </c>
      <c r="D233" s="14">
        <v>41140</v>
      </c>
      <c r="E233" s="2">
        <v>456</v>
      </c>
      <c r="F233" s="2">
        <v>1844</v>
      </c>
      <c r="G233" s="2">
        <v>1</v>
      </c>
      <c r="H233" s="2">
        <f t="shared" si="26"/>
        <v>4</v>
      </c>
      <c r="I233" s="2" t="str">
        <f t="shared" si="24"/>
        <v>56</v>
      </c>
      <c r="J233" s="10">
        <f t="shared" si="27"/>
        <v>0.20555555555555555</v>
      </c>
      <c r="K233" s="2">
        <f t="shared" si="28"/>
        <v>18</v>
      </c>
      <c r="L233">
        <f t="shared" si="29"/>
        <v>44</v>
      </c>
      <c r="M233" s="10">
        <f t="shared" si="30"/>
        <v>0.78055555555555556</v>
      </c>
      <c r="N233" s="12">
        <f t="shared" si="31"/>
        <v>13.799999999999999</v>
      </c>
    </row>
    <row r="234" spans="1:14">
      <c r="A234" s="2">
        <f t="shared" si="25"/>
        <v>243</v>
      </c>
      <c r="B234" s="2">
        <v>233</v>
      </c>
      <c r="C234" s="13">
        <v>40776</v>
      </c>
      <c r="D234" s="14">
        <v>41141</v>
      </c>
      <c r="E234" s="2">
        <v>457</v>
      </c>
      <c r="F234" s="2">
        <v>1842</v>
      </c>
      <c r="G234" s="2">
        <v>1</v>
      </c>
      <c r="H234" s="2">
        <f t="shared" si="26"/>
        <v>4</v>
      </c>
      <c r="I234" s="2" t="str">
        <f t="shared" si="24"/>
        <v>57</v>
      </c>
      <c r="J234" s="10">
        <f t="shared" si="27"/>
        <v>0.20624999999999999</v>
      </c>
      <c r="K234" s="2">
        <f t="shared" si="28"/>
        <v>18</v>
      </c>
      <c r="L234">
        <f t="shared" si="29"/>
        <v>42</v>
      </c>
      <c r="M234" s="10">
        <f t="shared" si="30"/>
        <v>0.77916666666666667</v>
      </c>
      <c r="N234" s="12">
        <f t="shared" si="31"/>
        <v>13.750000000000002</v>
      </c>
    </row>
    <row r="235" spans="1:14">
      <c r="A235" s="2">
        <f t="shared" si="25"/>
        <v>244</v>
      </c>
      <c r="B235" s="2">
        <v>234</v>
      </c>
      <c r="C235" s="13">
        <v>40777</v>
      </c>
      <c r="D235" s="14">
        <v>41142</v>
      </c>
      <c r="E235" s="2">
        <v>458</v>
      </c>
      <c r="F235" s="2">
        <v>1840</v>
      </c>
      <c r="G235" s="2">
        <v>1</v>
      </c>
      <c r="H235" s="2">
        <f t="shared" si="26"/>
        <v>4</v>
      </c>
      <c r="I235" s="2" t="str">
        <f t="shared" si="24"/>
        <v>58</v>
      </c>
      <c r="J235" s="10">
        <f t="shared" si="27"/>
        <v>0.20694444444444443</v>
      </c>
      <c r="K235" s="2">
        <f t="shared" si="28"/>
        <v>18</v>
      </c>
      <c r="L235">
        <f t="shared" si="29"/>
        <v>40</v>
      </c>
      <c r="M235" s="10">
        <f t="shared" si="30"/>
        <v>0.77777777777777779</v>
      </c>
      <c r="N235" s="12">
        <f t="shared" si="31"/>
        <v>13.7</v>
      </c>
    </row>
    <row r="236" spans="1:14">
      <c r="A236" s="2">
        <f t="shared" si="25"/>
        <v>245</v>
      </c>
      <c r="B236" s="2">
        <v>235</v>
      </c>
      <c r="C236" s="13">
        <v>40778</v>
      </c>
      <c r="D236" s="14">
        <v>41143</v>
      </c>
      <c r="E236" s="2">
        <v>500</v>
      </c>
      <c r="F236" s="2">
        <v>1839</v>
      </c>
      <c r="G236" s="2">
        <v>1</v>
      </c>
      <c r="H236" s="2">
        <f t="shared" si="26"/>
        <v>5</v>
      </c>
      <c r="I236" s="2" t="str">
        <f t="shared" si="24"/>
        <v>00</v>
      </c>
      <c r="J236" s="10">
        <f t="shared" si="27"/>
        <v>0.20833333333333334</v>
      </c>
      <c r="K236" s="2">
        <f t="shared" si="28"/>
        <v>18</v>
      </c>
      <c r="L236">
        <f t="shared" si="29"/>
        <v>39</v>
      </c>
      <c r="M236" s="10">
        <f t="shared" si="30"/>
        <v>0.77708333333333335</v>
      </c>
      <c r="N236" s="12">
        <f t="shared" si="31"/>
        <v>13.649999999999999</v>
      </c>
    </row>
    <row r="237" spans="1:14">
      <c r="A237" s="2">
        <f t="shared" si="25"/>
        <v>246</v>
      </c>
      <c r="B237" s="2">
        <v>236</v>
      </c>
      <c r="C237" s="13">
        <v>40779</v>
      </c>
      <c r="D237" s="14">
        <v>41144</v>
      </c>
      <c r="E237" s="2">
        <v>501</v>
      </c>
      <c r="F237" s="2">
        <v>1837</v>
      </c>
      <c r="G237" s="2">
        <v>1</v>
      </c>
      <c r="H237" s="2">
        <f t="shared" si="26"/>
        <v>5</v>
      </c>
      <c r="I237" s="2" t="str">
        <f t="shared" si="24"/>
        <v>01</v>
      </c>
      <c r="J237" s="10">
        <f t="shared" si="27"/>
        <v>0.20902777777777778</v>
      </c>
      <c r="K237" s="2">
        <f t="shared" si="28"/>
        <v>18</v>
      </c>
      <c r="L237">
        <f t="shared" si="29"/>
        <v>37</v>
      </c>
      <c r="M237" s="10">
        <f t="shared" si="30"/>
        <v>0.77569444444444446</v>
      </c>
      <c r="N237" s="12">
        <f t="shared" si="31"/>
        <v>13.6</v>
      </c>
    </row>
    <row r="238" spans="1:14">
      <c r="A238" s="2">
        <f t="shared" si="25"/>
        <v>247</v>
      </c>
      <c r="B238" s="2">
        <v>237</v>
      </c>
      <c r="C238" s="13">
        <v>40780</v>
      </c>
      <c r="D238" s="14">
        <v>41145</v>
      </c>
      <c r="E238" s="2">
        <v>502</v>
      </c>
      <c r="F238" s="2">
        <v>1835</v>
      </c>
      <c r="G238" s="2">
        <v>1</v>
      </c>
      <c r="H238" s="2">
        <f t="shared" si="26"/>
        <v>5</v>
      </c>
      <c r="I238" s="2" t="str">
        <f t="shared" si="24"/>
        <v>02</v>
      </c>
      <c r="J238" s="10">
        <f t="shared" si="27"/>
        <v>0.20972222222222223</v>
      </c>
      <c r="K238" s="2">
        <f t="shared" si="28"/>
        <v>18</v>
      </c>
      <c r="L238">
        <f t="shared" si="29"/>
        <v>35</v>
      </c>
      <c r="M238" s="10">
        <f t="shared" si="30"/>
        <v>0.77430555555555558</v>
      </c>
      <c r="N238" s="12">
        <f t="shared" si="31"/>
        <v>13.55</v>
      </c>
    </row>
    <row r="239" spans="1:14">
      <c r="A239" s="2">
        <f t="shared" si="25"/>
        <v>248</v>
      </c>
      <c r="B239" s="2">
        <v>238</v>
      </c>
      <c r="C239" s="13">
        <v>40781</v>
      </c>
      <c r="D239" s="14">
        <v>41146</v>
      </c>
      <c r="E239" s="2">
        <v>503</v>
      </c>
      <c r="F239" s="2">
        <v>1834</v>
      </c>
      <c r="G239" s="2">
        <v>1</v>
      </c>
      <c r="H239" s="2">
        <f t="shared" si="26"/>
        <v>5</v>
      </c>
      <c r="I239" s="2" t="str">
        <f t="shared" si="24"/>
        <v>03</v>
      </c>
      <c r="J239" s="10">
        <f t="shared" si="27"/>
        <v>0.21041666666666667</v>
      </c>
      <c r="K239" s="2">
        <f t="shared" si="28"/>
        <v>18</v>
      </c>
      <c r="L239">
        <f t="shared" si="29"/>
        <v>34</v>
      </c>
      <c r="M239" s="10">
        <f t="shared" si="30"/>
        <v>0.77361111111111114</v>
      </c>
      <c r="N239" s="12">
        <f t="shared" si="31"/>
        <v>13.516666666666666</v>
      </c>
    </row>
    <row r="240" spans="1:14">
      <c r="A240" s="2">
        <f t="shared" si="25"/>
        <v>249</v>
      </c>
      <c r="B240" s="2">
        <v>239</v>
      </c>
      <c r="C240" s="13">
        <v>40782</v>
      </c>
      <c r="D240" s="14">
        <v>41147</v>
      </c>
      <c r="E240" s="2">
        <v>504</v>
      </c>
      <c r="F240" s="2">
        <v>1832</v>
      </c>
      <c r="G240" s="2">
        <v>1</v>
      </c>
      <c r="H240" s="2">
        <f t="shared" si="26"/>
        <v>5</v>
      </c>
      <c r="I240" s="2" t="str">
        <f t="shared" si="24"/>
        <v>04</v>
      </c>
      <c r="J240" s="10">
        <f t="shared" si="27"/>
        <v>0.21111111111111111</v>
      </c>
      <c r="K240" s="2">
        <f t="shared" si="28"/>
        <v>18</v>
      </c>
      <c r="L240">
        <f t="shared" si="29"/>
        <v>32</v>
      </c>
      <c r="M240" s="10">
        <f t="shared" si="30"/>
        <v>0.77222222222222225</v>
      </c>
      <c r="N240" s="12">
        <f t="shared" si="31"/>
        <v>13.466666666666667</v>
      </c>
    </row>
    <row r="241" spans="1:14">
      <c r="A241" s="2">
        <f t="shared" si="25"/>
        <v>250</v>
      </c>
      <c r="B241" s="2">
        <v>240</v>
      </c>
      <c r="C241" s="13">
        <v>40783</v>
      </c>
      <c r="D241" s="14">
        <v>41148</v>
      </c>
      <c r="E241" s="2">
        <v>505</v>
      </c>
      <c r="F241" s="2">
        <v>1830</v>
      </c>
      <c r="G241" s="2">
        <v>1</v>
      </c>
      <c r="H241" s="2">
        <f t="shared" si="26"/>
        <v>5</v>
      </c>
      <c r="I241" s="2" t="str">
        <f t="shared" si="24"/>
        <v>05</v>
      </c>
      <c r="J241" s="10">
        <f t="shared" si="27"/>
        <v>0.21180555555555555</v>
      </c>
      <c r="K241" s="2">
        <f t="shared" si="28"/>
        <v>18</v>
      </c>
      <c r="L241">
        <f t="shared" si="29"/>
        <v>30</v>
      </c>
      <c r="M241" s="10">
        <f t="shared" si="30"/>
        <v>0.77083333333333337</v>
      </c>
      <c r="N241" s="12">
        <f t="shared" si="31"/>
        <v>13.416666666666668</v>
      </c>
    </row>
    <row r="242" spans="1:14">
      <c r="A242" s="2">
        <f t="shared" si="25"/>
        <v>251</v>
      </c>
      <c r="B242" s="2">
        <v>241</v>
      </c>
      <c r="C242" s="13">
        <v>40784</v>
      </c>
      <c r="D242" s="14">
        <v>41149</v>
      </c>
      <c r="E242" s="2">
        <v>506</v>
      </c>
      <c r="F242" s="2">
        <v>1828</v>
      </c>
      <c r="G242" s="2">
        <v>1</v>
      </c>
      <c r="H242" s="2">
        <f t="shared" si="26"/>
        <v>5</v>
      </c>
      <c r="I242" s="2" t="str">
        <f t="shared" si="24"/>
        <v>06</v>
      </c>
      <c r="J242" s="10">
        <f t="shared" si="27"/>
        <v>0.21249999999999999</v>
      </c>
      <c r="K242" s="2">
        <f t="shared" si="28"/>
        <v>18</v>
      </c>
      <c r="L242">
        <f t="shared" si="29"/>
        <v>28</v>
      </c>
      <c r="M242" s="10">
        <f t="shared" si="30"/>
        <v>0.76944444444444449</v>
      </c>
      <c r="N242" s="12">
        <f t="shared" si="31"/>
        <v>13.366666666666667</v>
      </c>
    </row>
    <row r="243" spans="1:14">
      <c r="A243" s="2">
        <f t="shared" si="25"/>
        <v>252</v>
      </c>
      <c r="B243" s="2">
        <v>242</v>
      </c>
      <c r="C243" s="13">
        <v>40785</v>
      </c>
      <c r="D243" s="14">
        <v>41150</v>
      </c>
      <c r="E243" s="2">
        <v>507</v>
      </c>
      <c r="F243" s="2">
        <v>1827</v>
      </c>
      <c r="G243" s="2">
        <v>1</v>
      </c>
      <c r="H243" s="2">
        <f t="shared" si="26"/>
        <v>5</v>
      </c>
      <c r="I243" s="2" t="str">
        <f t="shared" si="24"/>
        <v>07</v>
      </c>
      <c r="J243" s="10">
        <f t="shared" si="27"/>
        <v>0.21319444444444444</v>
      </c>
      <c r="K243" s="2">
        <f t="shared" si="28"/>
        <v>18</v>
      </c>
      <c r="L243">
        <f t="shared" si="29"/>
        <v>27</v>
      </c>
      <c r="M243" s="10">
        <f t="shared" si="30"/>
        <v>0.76875000000000004</v>
      </c>
      <c r="N243" s="12">
        <f t="shared" si="31"/>
        <v>13.333333333333334</v>
      </c>
    </row>
    <row r="244" spans="1:14">
      <c r="A244" s="2">
        <f t="shared" si="25"/>
        <v>253</v>
      </c>
      <c r="B244" s="2">
        <v>243</v>
      </c>
      <c r="C244" s="13">
        <v>40786</v>
      </c>
      <c r="D244" s="14">
        <v>41151</v>
      </c>
      <c r="E244" s="2">
        <v>509</v>
      </c>
      <c r="F244" s="2">
        <v>1825</v>
      </c>
      <c r="G244" s="2">
        <v>1</v>
      </c>
      <c r="H244" s="2">
        <f t="shared" si="26"/>
        <v>5</v>
      </c>
      <c r="I244" s="2" t="str">
        <f t="shared" si="24"/>
        <v>09</v>
      </c>
      <c r="J244" s="10">
        <f t="shared" si="27"/>
        <v>0.21458333333333332</v>
      </c>
      <c r="K244" s="2">
        <f t="shared" si="28"/>
        <v>18</v>
      </c>
      <c r="L244">
        <f t="shared" si="29"/>
        <v>25</v>
      </c>
      <c r="M244" s="10">
        <f t="shared" si="30"/>
        <v>0.76736111111111116</v>
      </c>
      <c r="N244" s="12">
        <f t="shared" si="31"/>
        <v>13.266666666666667</v>
      </c>
    </row>
    <row r="245" spans="1:14">
      <c r="A245" s="2">
        <f t="shared" si="25"/>
        <v>254</v>
      </c>
      <c r="B245" s="2">
        <v>244</v>
      </c>
      <c r="C245" s="13">
        <v>40787</v>
      </c>
      <c r="D245" s="14">
        <v>41152</v>
      </c>
      <c r="E245" s="2">
        <v>510</v>
      </c>
      <c r="F245" s="2">
        <v>1823</v>
      </c>
      <c r="G245" s="2">
        <v>1</v>
      </c>
      <c r="H245" s="2">
        <f t="shared" si="26"/>
        <v>5</v>
      </c>
      <c r="I245" s="2" t="str">
        <f t="shared" si="24"/>
        <v>10</v>
      </c>
      <c r="J245" s="10">
        <f t="shared" si="27"/>
        <v>0.21527777777777779</v>
      </c>
      <c r="K245" s="2">
        <f t="shared" si="28"/>
        <v>18</v>
      </c>
      <c r="L245">
        <f t="shared" si="29"/>
        <v>23</v>
      </c>
      <c r="M245" s="10">
        <f t="shared" si="30"/>
        <v>0.76597222222222228</v>
      </c>
      <c r="N245" s="12">
        <f t="shared" si="31"/>
        <v>13.216666666666669</v>
      </c>
    </row>
    <row r="246" spans="1:14">
      <c r="A246" s="2">
        <f t="shared" si="25"/>
        <v>255</v>
      </c>
      <c r="B246" s="2">
        <v>245</v>
      </c>
      <c r="C246" s="13">
        <v>40788</v>
      </c>
      <c r="D246" s="14">
        <v>41153</v>
      </c>
      <c r="E246" s="2">
        <v>511</v>
      </c>
      <c r="F246" s="2">
        <v>1821</v>
      </c>
      <c r="G246" s="2">
        <v>1</v>
      </c>
      <c r="H246" s="2">
        <f t="shared" si="26"/>
        <v>5</v>
      </c>
      <c r="I246" s="2" t="str">
        <f t="shared" si="24"/>
        <v>11</v>
      </c>
      <c r="J246" s="10">
        <f t="shared" si="27"/>
        <v>0.21597222222222223</v>
      </c>
      <c r="K246" s="2">
        <f t="shared" si="28"/>
        <v>18</v>
      </c>
      <c r="L246">
        <f t="shared" si="29"/>
        <v>21</v>
      </c>
      <c r="M246" s="10">
        <f t="shared" si="30"/>
        <v>0.76458333333333328</v>
      </c>
      <c r="N246" s="12">
        <f t="shared" si="31"/>
        <v>13.166666666666664</v>
      </c>
    </row>
    <row r="247" spans="1:14">
      <c r="A247" s="2">
        <f t="shared" si="25"/>
        <v>256</v>
      </c>
      <c r="B247" s="2">
        <v>246</v>
      </c>
      <c r="C247" s="13">
        <v>40789</v>
      </c>
      <c r="D247" s="14">
        <v>41154</v>
      </c>
      <c r="E247" s="2">
        <v>512</v>
      </c>
      <c r="F247" s="2">
        <v>1820</v>
      </c>
      <c r="G247" s="2">
        <v>1</v>
      </c>
      <c r="H247" s="2">
        <f t="shared" si="26"/>
        <v>5</v>
      </c>
      <c r="I247" s="2" t="str">
        <f t="shared" si="24"/>
        <v>12</v>
      </c>
      <c r="J247" s="10">
        <f t="shared" si="27"/>
        <v>0.21666666666666667</v>
      </c>
      <c r="K247" s="2">
        <f t="shared" si="28"/>
        <v>18</v>
      </c>
      <c r="L247">
        <f t="shared" si="29"/>
        <v>20</v>
      </c>
      <c r="M247" s="10">
        <f t="shared" si="30"/>
        <v>0.76388888888888884</v>
      </c>
      <c r="N247" s="12">
        <f t="shared" si="31"/>
        <v>13.133333333333333</v>
      </c>
    </row>
    <row r="248" spans="1:14">
      <c r="A248" s="2">
        <f t="shared" si="25"/>
        <v>257</v>
      </c>
      <c r="B248" s="2">
        <v>247</v>
      </c>
      <c r="C248" s="13">
        <v>40790</v>
      </c>
      <c r="D248" s="14">
        <v>41155</v>
      </c>
      <c r="E248" s="2">
        <v>513</v>
      </c>
      <c r="F248" s="2">
        <v>1818</v>
      </c>
      <c r="G248" s="2">
        <v>1</v>
      </c>
      <c r="H248" s="2">
        <f t="shared" si="26"/>
        <v>5</v>
      </c>
      <c r="I248" s="2" t="str">
        <f t="shared" si="24"/>
        <v>13</v>
      </c>
      <c r="J248" s="10">
        <f t="shared" si="27"/>
        <v>0.21736111111111112</v>
      </c>
      <c r="K248" s="2">
        <f t="shared" si="28"/>
        <v>18</v>
      </c>
      <c r="L248">
        <f t="shared" si="29"/>
        <v>18</v>
      </c>
      <c r="M248" s="10">
        <f t="shared" si="30"/>
        <v>0.76249999999999996</v>
      </c>
      <c r="N248" s="12">
        <f t="shared" si="31"/>
        <v>13.083333333333332</v>
      </c>
    </row>
    <row r="249" spans="1:14">
      <c r="A249" s="2">
        <f t="shared" si="25"/>
        <v>258</v>
      </c>
      <c r="B249" s="2">
        <v>248</v>
      </c>
      <c r="C249" s="13">
        <v>40791</v>
      </c>
      <c r="D249" s="14">
        <v>41156</v>
      </c>
      <c r="E249" s="2">
        <v>514</v>
      </c>
      <c r="F249" s="2">
        <v>1816</v>
      </c>
      <c r="G249" s="2">
        <v>1</v>
      </c>
      <c r="H249" s="2">
        <f t="shared" si="26"/>
        <v>5</v>
      </c>
      <c r="I249" s="2" t="str">
        <f t="shared" si="24"/>
        <v>14</v>
      </c>
      <c r="J249" s="10">
        <f t="shared" si="27"/>
        <v>0.21805555555555556</v>
      </c>
      <c r="K249" s="2">
        <f t="shared" si="28"/>
        <v>18</v>
      </c>
      <c r="L249">
        <f t="shared" si="29"/>
        <v>16</v>
      </c>
      <c r="M249" s="10">
        <f t="shared" si="30"/>
        <v>0.76111111111111107</v>
      </c>
      <c r="N249" s="12">
        <f t="shared" si="31"/>
        <v>13.033333333333331</v>
      </c>
    </row>
    <row r="250" spans="1:14">
      <c r="A250" s="2">
        <f t="shared" si="25"/>
        <v>259</v>
      </c>
      <c r="B250" s="2">
        <v>249</v>
      </c>
      <c r="C250" s="13">
        <v>40792</v>
      </c>
      <c r="D250" s="14">
        <v>41157</v>
      </c>
      <c r="E250" s="2">
        <v>515</v>
      </c>
      <c r="F250" s="2">
        <v>1814</v>
      </c>
      <c r="G250" s="2">
        <v>1</v>
      </c>
      <c r="H250" s="2">
        <f t="shared" si="26"/>
        <v>5</v>
      </c>
      <c r="I250" s="2" t="str">
        <f t="shared" si="24"/>
        <v>15</v>
      </c>
      <c r="J250" s="10">
        <f t="shared" si="27"/>
        <v>0.21875</v>
      </c>
      <c r="K250" s="2">
        <f t="shared" si="28"/>
        <v>18</v>
      </c>
      <c r="L250">
        <f t="shared" si="29"/>
        <v>14</v>
      </c>
      <c r="M250" s="10">
        <f t="shared" si="30"/>
        <v>0.75972222222222219</v>
      </c>
      <c r="N250" s="12">
        <f t="shared" si="31"/>
        <v>12.983333333333333</v>
      </c>
    </row>
    <row r="251" spans="1:14">
      <c r="A251" s="2">
        <f t="shared" si="25"/>
        <v>260</v>
      </c>
      <c r="B251" s="2">
        <v>250</v>
      </c>
      <c r="C251" s="13">
        <v>40793</v>
      </c>
      <c r="D251" s="14">
        <v>41158</v>
      </c>
      <c r="E251" s="2">
        <v>516</v>
      </c>
      <c r="F251" s="2">
        <v>1813</v>
      </c>
      <c r="G251" s="2">
        <v>1</v>
      </c>
      <c r="H251" s="2">
        <f t="shared" si="26"/>
        <v>5</v>
      </c>
      <c r="I251" s="2" t="str">
        <f t="shared" si="24"/>
        <v>16</v>
      </c>
      <c r="J251" s="10">
        <f t="shared" si="27"/>
        <v>0.21944444444444444</v>
      </c>
      <c r="K251" s="2">
        <f t="shared" si="28"/>
        <v>18</v>
      </c>
      <c r="L251">
        <f t="shared" si="29"/>
        <v>13</v>
      </c>
      <c r="M251" s="10">
        <f t="shared" si="30"/>
        <v>0.75902777777777775</v>
      </c>
      <c r="N251" s="12">
        <f t="shared" si="31"/>
        <v>12.95</v>
      </c>
    </row>
    <row r="252" spans="1:14">
      <c r="A252" s="2">
        <f t="shared" si="25"/>
        <v>261</v>
      </c>
      <c r="B252" s="2">
        <v>251</v>
      </c>
      <c r="C252" s="13">
        <v>40794</v>
      </c>
      <c r="D252" s="14">
        <v>41159</v>
      </c>
      <c r="E252" s="2">
        <v>518</v>
      </c>
      <c r="F252" s="2">
        <v>1811</v>
      </c>
      <c r="G252" s="2">
        <v>1</v>
      </c>
      <c r="H252" s="2">
        <f t="shared" si="26"/>
        <v>5</v>
      </c>
      <c r="I252" s="2" t="str">
        <f t="shared" si="24"/>
        <v>18</v>
      </c>
      <c r="J252" s="10">
        <f t="shared" si="27"/>
        <v>0.22083333333333333</v>
      </c>
      <c r="K252" s="2">
        <f t="shared" si="28"/>
        <v>18</v>
      </c>
      <c r="L252">
        <f t="shared" si="29"/>
        <v>11</v>
      </c>
      <c r="M252" s="10">
        <f t="shared" si="30"/>
        <v>0.75763888888888886</v>
      </c>
      <c r="N252" s="12">
        <f t="shared" si="31"/>
        <v>12.883333333333333</v>
      </c>
    </row>
    <row r="253" spans="1:14">
      <c r="A253" s="2">
        <f t="shared" si="25"/>
        <v>262</v>
      </c>
      <c r="B253" s="2">
        <v>252</v>
      </c>
      <c r="C253" s="13">
        <v>40795</v>
      </c>
      <c r="D253" s="14">
        <v>41160</v>
      </c>
      <c r="E253" s="2">
        <v>519</v>
      </c>
      <c r="F253" s="2">
        <v>1809</v>
      </c>
      <c r="G253" s="2">
        <v>1</v>
      </c>
      <c r="H253" s="2">
        <f t="shared" si="26"/>
        <v>5</v>
      </c>
      <c r="I253" s="2" t="str">
        <f t="shared" si="24"/>
        <v>19</v>
      </c>
      <c r="J253" s="10">
        <f t="shared" si="27"/>
        <v>0.22152777777777777</v>
      </c>
      <c r="K253" s="2">
        <f t="shared" si="28"/>
        <v>18</v>
      </c>
      <c r="L253">
        <f t="shared" si="29"/>
        <v>9</v>
      </c>
      <c r="M253" s="10">
        <f t="shared" si="30"/>
        <v>0.75624999999999998</v>
      </c>
      <c r="N253" s="12">
        <f t="shared" si="31"/>
        <v>12.833333333333332</v>
      </c>
    </row>
    <row r="254" spans="1:14">
      <c r="A254" s="2">
        <f t="shared" si="25"/>
        <v>263</v>
      </c>
      <c r="B254" s="2">
        <v>253</v>
      </c>
      <c r="C254" s="13">
        <v>40796</v>
      </c>
      <c r="D254" s="14">
        <v>41161</v>
      </c>
      <c r="E254" s="2">
        <v>520</v>
      </c>
      <c r="F254" s="2">
        <v>1807</v>
      </c>
      <c r="G254" s="2">
        <v>1</v>
      </c>
      <c r="H254" s="2">
        <f t="shared" si="26"/>
        <v>5</v>
      </c>
      <c r="I254" s="2" t="str">
        <f t="shared" si="24"/>
        <v>20</v>
      </c>
      <c r="J254" s="10">
        <f t="shared" si="27"/>
        <v>0.22222222222222221</v>
      </c>
      <c r="K254" s="2">
        <f t="shared" si="28"/>
        <v>18</v>
      </c>
      <c r="L254">
        <f t="shared" si="29"/>
        <v>7</v>
      </c>
      <c r="M254" s="10">
        <f t="shared" si="30"/>
        <v>0.75486111111111109</v>
      </c>
      <c r="N254" s="12">
        <f t="shared" si="31"/>
        <v>12.783333333333333</v>
      </c>
    </row>
    <row r="255" spans="1:14">
      <c r="A255" s="2">
        <f t="shared" si="25"/>
        <v>264</v>
      </c>
      <c r="B255" s="2">
        <v>254</v>
      </c>
      <c r="C255" s="13">
        <v>40797</v>
      </c>
      <c r="D255" s="14">
        <v>41162</v>
      </c>
      <c r="E255" s="2">
        <v>521</v>
      </c>
      <c r="F255" s="2">
        <v>1805</v>
      </c>
      <c r="G255" s="2">
        <v>1</v>
      </c>
      <c r="H255" s="2">
        <f t="shared" si="26"/>
        <v>5</v>
      </c>
      <c r="I255" s="2" t="str">
        <f t="shared" si="24"/>
        <v>21</v>
      </c>
      <c r="J255" s="10">
        <f t="shared" si="27"/>
        <v>0.22291666666666668</v>
      </c>
      <c r="K255" s="2">
        <f t="shared" si="28"/>
        <v>18</v>
      </c>
      <c r="L255">
        <f t="shared" si="29"/>
        <v>5</v>
      </c>
      <c r="M255" s="10">
        <f t="shared" si="30"/>
        <v>0.75347222222222221</v>
      </c>
      <c r="N255" s="12">
        <f t="shared" si="31"/>
        <v>12.733333333333334</v>
      </c>
    </row>
    <row r="256" spans="1:14">
      <c r="A256" s="2">
        <f t="shared" si="25"/>
        <v>265</v>
      </c>
      <c r="B256" s="2">
        <v>255</v>
      </c>
      <c r="C256" s="13">
        <v>40798</v>
      </c>
      <c r="D256" s="14">
        <v>41163</v>
      </c>
      <c r="E256" s="2">
        <v>522</v>
      </c>
      <c r="F256" s="2">
        <v>1803</v>
      </c>
      <c r="G256" s="2">
        <v>1</v>
      </c>
      <c r="H256" s="2">
        <f t="shared" si="26"/>
        <v>5</v>
      </c>
      <c r="I256" s="2" t="str">
        <f t="shared" si="24"/>
        <v>22</v>
      </c>
      <c r="J256" s="10">
        <f t="shared" si="27"/>
        <v>0.22361111111111112</v>
      </c>
      <c r="K256" s="2">
        <f t="shared" si="28"/>
        <v>18</v>
      </c>
      <c r="L256">
        <f t="shared" si="29"/>
        <v>3</v>
      </c>
      <c r="M256" s="10">
        <f t="shared" si="30"/>
        <v>0.75208333333333333</v>
      </c>
      <c r="N256" s="12">
        <f t="shared" si="31"/>
        <v>12.683333333333334</v>
      </c>
    </row>
    <row r="257" spans="1:14">
      <c r="A257" s="2">
        <f t="shared" si="25"/>
        <v>266</v>
      </c>
      <c r="B257" s="2">
        <v>256</v>
      </c>
      <c r="C257" s="13">
        <v>40799</v>
      </c>
      <c r="D257" s="14">
        <v>41164</v>
      </c>
      <c r="E257" s="2">
        <v>523</v>
      </c>
      <c r="F257" s="2">
        <v>1802</v>
      </c>
      <c r="G257" s="2">
        <v>1</v>
      </c>
      <c r="H257" s="2">
        <f t="shared" si="26"/>
        <v>5</v>
      </c>
      <c r="I257" s="2" t="str">
        <f t="shared" si="24"/>
        <v>23</v>
      </c>
      <c r="J257" s="10">
        <f t="shared" si="27"/>
        <v>0.22430555555555556</v>
      </c>
      <c r="K257" s="2">
        <f t="shared" si="28"/>
        <v>18</v>
      </c>
      <c r="L257">
        <f t="shared" si="29"/>
        <v>2</v>
      </c>
      <c r="M257" s="10">
        <f t="shared" si="30"/>
        <v>0.75138888888888888</v>
      </c>
      <c r="N257" s="12">
        <f t="shared" si="31"/>
        <v>12.65</v>
      </c>
    </row>
    <row r="258" spans="1:14">
      <c r="A258" s="2">
        <f t="shared" si="25"/>
        <v>267</v>
      </c>
      <c r="B258" s="2">
        <v>257</v>
      </c>
      <c r="C258" s="13">
        <v>40800</v>
      </c>
      <c r="D258" s="14">
        <v>41165</v>
      </c>
      <c r="E258" s="2">
        <v>524</v>
      </c>
      <c r="F258" s="2">
        <v>1800</v>
      </c>
      <c r="G258" s="2">
        <v>1</v>
      </c>
      <c r="H258" s="2">
        <f t="shared" si="26"/>
        <v>5</v>
      </c>
      <c r="I258" s="2" t="str">
        <f t="shared" ref="I258:I321" si="32">RIGHT(E258,2)</f>
        <v>24</v>
      </c>
      <c r="J258" s="10">
        <f t="shared" si="27"/>
        <v>0.22500000000000001</v>
      </c>
      <c r="K258" s="2">
        <f t="shared" si="28"/>
        <v>18</v>
      </c>
      <c r="L258">
        <f t="shared" si="29"/>
        <v>0</v>
      </c>
      <c r="M258" s="10">
        <f t="shared" si="30"/>
        <v>0.75</v>
      </c>
      <c r="N258" s="12">
        <f t="shared" si="31"/>
        <v>12.600000000000001</v>
      </c>
    </row>
    <row r="259" spans="1:14">
      <c r="A259" s="2">
        <f t="shared" ref="A259:A322" si="33">B259+10</f>
        <v>268</v>
      </c>
      <c r="B259" s="2">
        <v>258</v>
      </c>
      <c r="C259" s="13">
        <v>40801</v>
      </c>
      <c r="D259" s="14">
        <v>41166</v>
      </c>
      <c r="E259" s="2">
        <v>525</v>
      </c>
      <c r="F259" s="2">
        <v>1758</v>
      </c>
      <c r="G259" s="2">
        <v>1</v>
      </c>
      <c r="H259" s="2">
        <f t="shared" ref="H259:H322" si="34">VALUE(LEFT(E259,1))</f>
        <v>5</v>
      </c>
      <c r="I259" s="2" t="str">
        <f t="shared" si="32"/>
        <v>25</v>
      </c>
      <c r="J259" s="10">
        <f t="shared" ref="J259:J322" si="35">TIME(H259,I259,0)</f>
        <v>0.22569444444444445</v>
      </c>
      <c r="K259" s="2">
        <f t="shared" ref="K259:K322" si="36">VALUE(LEFT(F259,2))</f>
        <v>17</v>
      </c>
      <c r="L259">
        <f t="shared" ref="L259:L322" si="37">VALUE(RIGHT(F259,2))</f>
        <v>58</v>
      </c>
      <c r="M259" s="10">
        <f t="shared" ref="M259:M322" si="38">TIME(K259,L259,0)</f>
        <v>0.74861111111111112</v>
      </c>
      <c r="N259" s="12">
        <f t="shared" ref="N259:N322" si="39">(M259-J259)*24</f>
        <v>12.55</v>
      </c>
    </row>
    <row r="260" spans="1:14">
      <c r="A260" s="2">
        <f t="shared" si="33"/>
        <v>269</v>
      </c>
      <c r="B260" s="2">
        <v>259</v>
      </c>
      <c r="C260" s="13">
        <v>40802</v>
      </c>
      <c r="D260" s="14">
        <v>41167</v>
      </c>
      <c r="E260" s="2">
        <v>527</v>
      </c>
      <c r="F260" s="2">
        <v>1756</v>
      </c>
      <c r="G260" s="2">
        <v>1</v>
      </c>
      <c r="H260" s="2">
        <f t="shared" si="34"/>
        <v>5</v>
      </c>
      <c r="I260" s="2" t="str">
        <f t="shared" si="32"/>
        <v>27</v>
      </c>
      <c r="J260" s="10">
        <f t="shared" si="35"/>
        <v>0.22708333333333333</v>
      </c>
      <c r="K260" s="2">
        <f t="shared" si="36"/>
        <v>17</v>
      </c>
      <c r="L260">
        <f t="shared" si="37"/>
        <v>56</v>
      </c>
      <c r="M260" s="10">
        <f t="shared" si="38"/>
        <v>0.74722222222222223</v>
      </c>
      <c r="N260" s="12">
        <f t="shared" si="39"/>
        <v>12.483333333333334</v>
      </c>
    </row>
    <row r="261" spans="1:14">
      <c r="A261" s="2">
        <f t="shared" si="33"/>
        <v>270</v>
      </c>
      <c r="B261" s="2">
        <v>260</v>
      </c>
      <c r="C261" s="13">
        <v>40803</v>
      </c>
      <c r="D261" s="14">
        <v>41168</v>
      </c>
      <c r="E261" s="2">
        <v>528</v>
      </c>
      <c r="F261" s="2">
        <v>1754</v>
      </c>
      <c r="G261" s="2">
        <v>1</v>
      </c>
      <c r="H261" s="2">
        <f t="shared" si="34"/>
        <v>5</v>
      </c>
      <c r="I261" s="2" t="str">
        <f t="shared" si="32"/>
        <v>28</v>
      </c>
      <c r="J261" s="10">
        <f t="shared" si="35"/>
        <v>0.22777777777777777</v>
      </c>
      <c r="K261" s="2">
        <f t="shared" si="36"/>
        <v>17</v>
      </c>
      <c r="L261">
        <f t="shared" si="37"/>
        <v>54</v>
      </c>
      <c r="M261" s="10">
        <f t="shared" si="38"/>
        <v>0.74583333333333335</v>
      </c>
      <c r="N261" s="12">
        <f t="shared" si="39"/>
        <v>12.433333333333334</v>
      </c>
    </row>
    <row r="262" spans="1:14">
      <c r="A262" s="2">
        <f t="shared" si="33"/>
        <v>271</v>
      </c>
      <c r="B262" s="2">
        <v>261</v>
      </c>
      <c r="C262" s="13">
        <v>40804</v>
      </c>
      <c r="D262" s="14">
        <v>41169</v>
      </c>
      <c r="E262" s="2">
        <v>529</v>
      </c>
      <c r="F262" s="2">
        <v>1752</v>
      </c>
      <c r="G262" s="2">
        <v>1</v>
      </c>
      <c r="H262" s="2">
        <f t="shared" si="34"/>
        <v>5</v>
      </c>
      <c r="I262" s="2" t="str">
        <f t="shared" si="32"/>
        <v>29</v>
      </c>
      <c r="J262" s="10">
        <f t="shared" si="35"/>
        <v>0.22847222222222222</v>
      </c>
      <c r="K262" s="2">
        <f t="shared" si="36"/>
        <v>17</v>
      </c>
      <c r="L262">
        <f t="shared" si="37"/>
        <v>52</v>
      </c>
      <c r="M262" s="10">
        <f t="shared" si="38"/>
        <v>0.74444444444444446</v>
      </c>
      <c r="N262" s="12">
        <f t="shared" si="39"/>
        <v>12.383333333333335</v>
      </c>
    </row>
    <row r="263" spans="1:14">
      <c r="A263" s="2">
        <f t="shared" si="33"/>
        <v>272</v>
      </c>
      <c r="B263" s="2">
        <v>262</v>
      </c>
      <c r="C263" s="13">
        <v>40805</v>
      </c>
      <c r="D263" s="14">
        <v>41170</v>
      </c>
      <c r="E263" s="2">
        <v>530</v>
      </c>
      <c r="F263" s="2">
        <v>1751</v>
      </c>
      <c r="G263" s="2">
        <v>1</v>
      </c>
      <c r="H263" s="2">
        <f t="shared" si="34"/>
        <v>5</v>
      </c>
      <c r="I263" s="2" t="str">
        <f t="shared" si="32"/>
        <v>30</v>
      </c>
      <c r="J263" s="10">
        <f t="shared" si="35"/>
        <v>0.22916666666666666</v>
      </c>
      <c r="K263" s="2">
        <f t="shared" si="36"/>
        <v>17</v>
      </c>
      <c r="L263">
        <f t="shared" si="37"/>
        <v>51</v>
      </c>
      <c r="M263" s="10">
        <f t="shared" si="38"/>
        <v>0.74375000000000002</v>
      </c>
      <c r="N263" s="12">
        <f t="shared" si="39"/>
        <v>12.350000000000001</v>
      </c>
    </row>
    <row r="264" spans="1:14">
      <c r="A264" s="2">
        <f t="shared" si="33"/>
        <v>273</v>
      </c>
      <c r="B264" s="2">
        <v>263</v>
      </c>
      <c r="C264" s="13">
        <v>40806</v>
      </c>
      <c r="D264" s="14">
        <v>41171</v>
      </c>
      <c r="E264" s="2">
        <v>531</v>
      </c>
      <c r="F264" s="2">
        <v>1749</v>
      </c>
      <c r="G264" s="2">
        <v>1</v>
      </c>
      <c r="H264" s="2">
        <f t="shared" si="34"/>
        <v>5</v>
      </c>
      <c r="I264" s="2" t="str">
        <f t="shared" si="32"/>
        <v>31</v>
      </c>
      <c r="J264" s="10">
        <f t="shared" si="35"/>
        <v>0.2298611111111111</v>
      </c>
      <c r="K264" s="2">
        <f t="shared" si="36"/>
        <v>17</v>
      </c>
      <c r="L264">
        <f t="shared" si="37"/>
        <v>49</v>
      </c>
      <c r="M264" s="10">
        <f t="shared" si="38"/>
        <v>0.74236111111111114</v>
      </c>
      <c r="N264" s="12">
        <f t="shared" si="39"/>
        <v>12.3</v>
      </c>
    </row>
    <row r="265" spans="1:14">
      <c r="A265" s="2">
        <f t="shared" si="33"/>
        <v>274</v>
      </c>
      <c r="B265" s="2">
        <v>264</v>
      </c>
      <c r="C265" s="13">
        <v>40807</v>
      </c>
      <c r="D265" s="14">
        <v>41172</v>
      </c>
      <c r="E265" s="2">
        <v>532</v>
      </c>
      <c r="F265" s="2">
        <v>1747</v>
      </c>
      <c r="G265" s="2">
        <v>1</v>
      </c>
      <c r="H265" s="2">
        <f t="shared" si="34"/>
        <v>5</v>
      </c>
      <c r="I265" s="2" t="str">
        <f t="shared" si="32"/>
        <v>32</v>
      </c>
      <c r="J265" s="10">
        <f t="shared" si="35"/>
        <v>0.23055555555555557</v>
      </c>
      <c r="K265" s="2">
        <f t="shared" si="36"/>
        <v>17</v>
      </c>
      <c r="L265">
        <f t="shared" si="37"/>
        <v>47</v>
      </c>
      <c r="M265" s="10">
        <f t="shared" si="38"/>
        <v>0.74097222222222225</v>
      </c>
      <c r="N265" s="12">
        <f t="shared" si="39"/>
        <v>12.250000000000002</v>
      </c>
    </row>
    <row r="266" spans="1:14">
      <c r="A266" s="2">
        <f t="shared" si="33"/>
        <v>275</v>
      </c>
      <c r="B266" s="2">
        <v>265</v>
      </c>
      <c r="C266" s="13">
        <v>40808</v>
      </c>
      <c r="D266" s="14">
        <v>41173</v>
      </c>
      <c r="E266" s="2">
        <v>533</v>
      </c>
      <c r="F266" s="2">
        <v>1745</v>
      </c>
      <c r="G266" s="2">
        <v>1</v>
      </c>
      <c r="H266" s="2">
        <f t="shared" si="34"/>
        <v>5</v>
      </c>
      <c r="I266" s="2" t="str">
        <f t="shared" si="32"/>
        <v>33</v>
      </c>
      <c r="J266" s="10">
        <f t="shared" si="35"/>
        <v>0.23125000000000001</v>
      </c>
      <c r="K266" s="2">
        <f t="shared" si="36"/>
        <v>17</v>
      </c>
      <c r="L266">
        <f t="shared" si="37"/>
        <v>45</v>
      </c>
      <c r="M266" s="10">
        <f t="shared" si="38"/>
        <v>0.73958333333333337</v>
      </c>
      <c r="N266" s="12">
        <f t="shared" si="39"/>
        <v>12.2</v>
      </c>
    </row>
    <row r="267" spans="1:14">
      <c r="A267" s="2">
        <f t="shared" si="33"/>
        <v>276</v>
      </c>
      <c r="B267" s="2">
        <v>266</v>
      </c>
      <c r="C267" s="13">
        <v>40809</v>
      </c>
      <c r="D267" s="14">
        <v>41174</v>
      </c>
      <c r="E267" s="2">
        <v>535</v>
      </c>
      <c r="F267" s="2">
        <v>1743</v>
      </c>
      <c r="G267" s="2">
        <v>1</v>
      </c>
      <c r="H267" s="2">
        <f t="shared" si="34"/>
        <v>5</v>
      </c>
      <c r="I267" s="2" t="str">
        <f t="shared" si="32"/>
        <v>35</v>
      </c>
      <c r="J267" s="10">
        <f t="shared" si="35"/>
        <v>0.2326388888888889</v>
      </c>
      <c r="K267" s="2">
        <f t="shared" si="36"/>
        <v>17</v>
      </c>
      <c r="L267">
        <f t="shared" si="37"/>
        <v>43</v>
      </c>
      <c r="M267" s="10">
        <f t="shared" si="38"/>
        <v>0.73819444444444449</v>
      </c>
      <c r="N267" s="12">
        <f t="shared" si="39"/>
        <v>12.133333333333333</v>
      </c>
    </row>
    <row r="268" spans="1:14">
      <c r="A268" s="2">
        <f t="shared" si="33"/>
        <v>277</v>
      </c>
      <c r="B268" s="2">
        <v>267</v>
      </c>
      <c r="C268" s="13">
        <v>40810</v>
      </c>
      <c r="D268" s="14">
        <v>41175</v>
      </c>
      <c r="E268" s="2">
        <v>536</v>
      </c>
      <c r="F268" s="2">
        <v>1741</v>
      </c>
      <c r="G268" s="2">
        <v>1</v>
      </c>
      <c r="H268" s="2">
        <f t="shared" si="34"/>
        <v>5</v>
      </c>
      <c r="I268" s="2" t="str">
        <f t="shared" si="32"/>
        <v>36</v>
      </c>
      <c r="J268" s="10">
        <f t="shared" si="35"/>
        <v>0.23333333333333334</v>
      </c>
      <c r="K268" s="2">
        <f t="shared" si="36"/>
        <v>17</v>
      </c>
      <c r="L268">
        <f t="shared" si="37"/>
        <v>41</v>
      </c>
      <c r="M268" s="10">
        <f t="shared" si="38"/>
        <v>0.7368055555555556</v>
      </c>
      <c r="N268" s="12">
        <f t="shared" si="39"/>
        <v>12.083333333333336</v>
      </c>
    </row>
    <row r="269" spans="1:14">
      <c r="A269" s="2">
        <f t="shared" si="33"/>
        <v>278</v>
      </c>
      <c r="B269" s="2">
        <v>268</v>
      </c>
      <c r="C269" s="13">
        <v>40811</v>
      </c>
      <c r="D269" s="14">
        <v>41176</v>
      </c>
      <c r="E269" s="2">
        <v>537</v>
      </c>
      <c r="F269" s="2">
        <v>1740</v>
      </c>
      <c r="G269" s="2">
        <v>1</v>
      </c>
      <c r="H269" s="2">
        <f t="shared" si="34"/>
        <v>5</v>
      </c>
      <c r="I269" s="2" t="str">
        <f t="shared" si="32"/>
        <v>37</v>
      </c>
      <c r="J269" s="10">
        <f t="shared" si="35"/>
        <v>0.23402777777777778</v>
      </c>
      <c r="K269" s="2">
        <f t="shared" si="36"/>
        <v>17</v>
      </c>
      <c r="L269">
        <f t="shared" si="37"/>
        <v>40</v>
      </c>
      <c r="M269" s="10">
        <f t="shared" si="38"/>
        <v>0.73611111111111116</v>
      </c>
      <c r="N269" s="12">
        <f t="shared" si="39"/>
        <v>12.050000000000002</v>
      </c>
    </row>
    <row r="270" spans="1:14">
      <c r="A270" s="2">
        <f t="shared" si="33"/>
        <v>279</v>
      </c>
      <c r="B270" s="2">
        <v>269</v>
      </c>
      <c r="C270" s="13">
        <v>40812</v>
      </c>
      <c r="D270" s="14">
        <v>41177</v>
      </c>
      <c r="E270" s="2">
        <v>538</v>
      </c>
      <c r="F270" s="2">
        <v>1738</v>
      </c>
      <c r="G270" s="2">
        <v>1</v>
      </c>
      <c r="H270" s="2">
        <f t="shared" si="34"/>
        <v>5</v>
      </c>
      <c r="I270" s="2" t="str">
        <f t="shared" si="32"/>
        <v>38</v>
      </c>
      <c r="J270" s="10">
        <f t="shared" si="35"/>
        <v>0.23472222222222222</v>
      </c>
      <c r="K270" s="2">
        <f t="shared" si="36"/>
        <v>17</v>
      </c>
      <c r="L270">
        <f t="shared" si="37"/>
        <v>38</v>
      </c>
      <c r="M270" s="10">
        <f t="shared" si="38"/>
        <v>0.73472222222222228</v>
      </c>
      <c r="N270" s="12">
        <f t="shared" si="39"/>
        <v>12</v>
      </c>
    </row>
    <row r="271" spans="1:14">
      <c r="A271" s="2">
        <f t="shared" si="33"/>
        <v>280</v>
      </c>
      <c r="B271" s="2">
        <v>270</v>
      </c>
      <c r="C271" s="13">
        <v>40813</v>
      </c>
      <c r="D271" s="14">
        <v>41178</v>
      </c>
      <c r="E271" s="2">
        <v>539</v>
      </c>
      <c r="F271" s="2">
        <v>1736</v>
      </c>
      <c r="G271" s="2">
        <v>1</v>
      </c>
      <c r="H271" s="2">
        <f t="shared" si="34"/>
        <v>5</v>
      </c>
      <c r="I271" s="2" t="str">
        <f t="shared" si="32"/>
        <v>39</v>
      </c>
      <c r="J271" s="10">
        <f t="shared" si="35"/>
        <v>0.23541666666666666</v>
      </c>
      <c r="K271" s="2">
        <f t="shared" si="36"/>
        <v>17</v>
      </c>
      <c r="L271">
        <f t="shared" si="37"/>
        <v>36</v>
      </c>
      <c r="M271" s="10">
        <f t="shared" si="38"/>
        <v>0.73333333333333328</v>
      </c>
      <c r="N271" s="12">
        <f t="shared" si="39"/>
        <v>11.95</v>
      </c>
    </row>
    <row r="272" spans="1:14">
      <c r="A272" s="2">
        <f t="shared" si="33"/>
        <v>281</v>
      </c>
      <c r="B272" s="2">
        <v>271</v>
      </c>
      <c r="C272" s="13">
        <v>40814</v>
      </c>
      <c r="D272" s="14">
        <v>41179</v>
      </c>
      <c r="E272" s="2">
        <v>540</v>
      </c>
      <c r="F272" s="2">
        <v>1734</v>
      </c>
      <c r="G272" s="2">
        <v>1</v>
      </c>
      <c r="H272" s="2">
        <f t="shared" si="34"/>
        <v>5</v>
      </c>
      <c r="I272" s="2" t="str">
        <f t="shared" si="32"/>
        <v>40</v>
      </c>
      <c r="J272" s="10">
        <f t="shared" si="35"/>
        <v>0.2361111111111111</v>
      </c>
      <c r="K272" s="2">
        <f t="shared" si="36"/>
        <v>17</v>
      </c>
      <c r="L272">
        <f t="shared" si="37"/>
        <v>34</v>
      </c>
      <c r="M272" s="10">
        <f t="shared" si="38"/>
        <v>0.7319444444444444</v>
      </c>
      <c r="N272" s="12">
        <f t="shared" si="39"/>
        <v>11.899999999999999</v>
      </c>
    </row>
    <row r="273" spans="1:14">
      <c r="A273" s="2">
        <f t="shared" si="33"/>
        <v>282</v>
      </c>
      <c r="B273" s="2">
        <v>272</v>
      </c>
      <c r="C273" s="13">
        <v>40815</v>
      </c>
      <c r="D273" s="14">
        <v>41180</v>
      </c>
      <c r="E273" s="2">
        <v>541</v>
      </c>
      <c r="F273" s="2">
        <v>1732</v>
      </c>
      <c r="G273" s="2">
        <v>1</v>
      </c>
      <c r="H273" s="2">
        <f t="shared" si="34"/>
        <v>5</v>
      </c>
      <c r="I273" s="2" t="str">
        <f t="shared" si="32"/>
        <v>41</v>
      </c>
      <c r="J273" s="10">
        <f t="shared" si="35"/>
        <v>0.23680555555555555</v>
      </c>
      <c r="K273" s="2">
        <f t="shared" si="36"/>
        <v>17</v>
      </c>
      <c r="L273">
        <f t="shared" si="37"/>
        <v>32</v>
      </c>
      <c r="M273" s="10">
        <f t="shared" si="38"/>
        <v>0.73055555555555551</v>
      </c>
      <c r="N273" s="12">
        <f t="shared" si="39"/>
        <v>11.85</v>
      </c>
    </row>
    <row r="274" spans="1:14">
      <c r="A274" s="2">
        <f t="shared" si="33"/>
        <v>283</v>
      </c>
      <c r="B274" s="2">
        <v>273</v>
      </c>
      <c r="C274" s="13">
        <v>40816</v>
      </c>
      <c r="D274" s="14">
        <v>41181</v>
      </c>
      <c r="E274" s="2">
        <v>543</v>
      </c>
      <c r="F274" s="2">
        <v>1730</v>
      </c>
      <c r="G274" s="2">
        <v>1</v>
      </c>
      <c r="H274" s="2">
        <f t="shared" si="34"/>
        <v>5</v>
      </c>
      <c r="I274" s="2" t="str">
        <f t="shared" si="32"/>
        <v>43</v>
      </c>
      <c r="J274" s="10">
        <f t="shared" si="35"/>
        <v>0.23819444444444443</v>
      </c>
      <c r="K274" s="2">
        <f t="shared" si="36"/>
        <v>17</v>
      </c>
      <c r="L274">
        <f t="shared" si="37"/>
        <v>30</v>
      </c>
      <c r="M274" s="10">
        <f t="shared" si="38"/>
        <v>0.72916666666666663</v>
      </c>
      <c r="N274" s="12">
        <f t="shared" si="39"/>
        <v>11.783333333333333</v>
      </c>
    </row>
    <row r="275" spans="1:14">
      <c r="A275" s="2">
        <f t="shared" si="33"/>
        <v>284</v>
      </c>
      <c r="B275" s="2">
        <v>274</v>
      </c>
      <c r="C275" s="13">
        <v>40817</v>
      </c>
      <c r="D275" s="14">
        <v>41182</v>
      </c>
      <c r="E275" s="2">
        <v>544</v>
      </c>
      <c r="F275" s="2">
        <v>1729</v>
      </c>
      <c r="G275" s="2">
        <v>1</v>
      </c>
      <c r="H275" s="2">
        <f t="shared" si="34"/>
        <v>5</v>
      </c>
      <c r="I275" s="2" t="str">
        <f t="shared" si="32"/>
        <v>44</v>
      </c>
      <c r="J275" s="10">
        <f t="shared" si="35"/>
        <v>0.2388888888888889</v>
      </c>
      <c r="K275" s="2">
        <f t="shared" si="36"/>
        <v>17</v>
      </c>
      <c r="L275">
        <f t="shared" si="37"/>
        <v>29</v>
      </c>
      <c r="M275" s="10">
        <f t="shared" si="38"/>
        <v>0.72847222222222219</v>
      </c>
      <c r="N275" s="12">
        <f t="shared" si="39"/>
        <v>11.749999999999998</v>
      </c>
    </row>
    <row r="276" spans="1:14">
      <c r="A276" s="2">
        <f t="shared" si="33"/>
        <v>285</v>
      </c>
      <c r="B276" s="2">
        <v>275</v>
      </c>
      <c r="C276" s="13">
        <v>40818</v>
      </c>
      <c r="D276" s="14">
        <v>41183</v>
      </c>
      <c r="E276" s="2">
        <v>545</v>
      </c>
      <c r="F276" s="2">
        <v>1727</v>
      </c>
      <c r="G276" s="2">
        <v>1</v>
      </c>
      <c r="H276" s="2">
        <f t="shared" si="34"/>
        <v>5</v>
      </c>
      <c r="I276" s="2" t="str">
        <f t="shared" si="32"/>
        <v>45</v>
      </c>
      <c r="J276" s="10">
        <f t="shared" si="35"/>
        <v>0.23958333333333334</v>
      </c>
      <c r="K276" s="2">
        <f t="shared" si="36"/>
        <v>17</v>
      </c>
      <c r="L276">
        <f t="shared" si="37"/>
        <v>27</v>
      </c>
      <c r="M276" s="10">
        <f t="shared" si="38"/>
        <v>0.7270833333333333</v>
      </c>
      <c r="N276" s="12">
        <f t="shared" si="39"/>
        <v>11.7</v>
      </c>
    </row>
    <row r="277" spans="1:14">
      <c r="A277" s="2">
        <f t="shared" si="33"/>
        <v>286</v>
      </c>
      <c r="B277" s="2">
        <v>276</v>
      </c>
      <c r="C277" s="13">
        <v>40819</v>
      </c>
      <c r="D277" s="14">
        <v>41184</v>
      </c>
      <c r="E277" s="2">
        <v>546</v>
      </c>
      <c r="F277" s="2">
        <v>1725</v>
      </c>
      <c r="G277" s="2">
        <v>1</v>
      </c>
      <c r="H277" s="2">
        <f t="shared" si="34"/>
        <v>5</v>
      </c>
      <c r="I277" s="2" t="str">
        <f t="shared" si="32"/>
        <v>46</v>
      </c>
      <c r="J277" s="10">
        <f t="shared" si="35"/>
        <v>0.24027777777777778</v>
      </c>
      <c r="K277" s="2">
        <f t="shared" si="36"/>
        <v>17</v>
      </c>
      <c r="L277">
        <f t="shared" si="37"/>
        <v>25</v>
      </c>
      <c r="M277" s="10">
        <f t="shared" si="38"/>
        <v>0.72569444444444442</v>
      </c>
      <c r="N277" s="12">
        <f t="shared" si="39"/>
        <v>11.649999999999999</v>
      </c>
    </row>
    <row r="278" spans="1:14">
      <c r="A278" s="2">
        <f t="shared" si="33"/>
        <v>287</v>
      </c>
      <c r="B278" s="2">
        <v>277</v>
      </c>
      <c r="C278" s="13">
        <v>40820</v>
      </c>
      <c r="D278" s="14">
        <v>41185</v>
      </c>
      <c r="E278" s="2">
        <v>547</v>
      </c>
      <c r="F278" s="2">
        <v>1723</v>
      </c>
      <c r="G278" s="2">
        <v>1</v>
      </c>
      <c r="H278" s="2">
        <f t="shared" si="34"/>
        <v>5</v>
      </c>
      <c r="I278" s="2" t="str">
        <f t="shared" si="32"/>
        <v>47</v>
      </c>
      <c r="J278" s="10">
        <f t="shared" si="35"/>
        <v>0.24097222222222223</v>
      </c>
      <c r="K278" s="2">
        <f t="shared" si="36"/>
        <v>17</v>
      </c>
      <c r="L278">
        <f t="shared" si="37"/>
        <v>23</v>
      </c>
      <c r="M278" s="10">
        <f t="shared" si="38"/>
        <v>0.72430555555555554</v>
      </c>
      <c r="N278" s="12">
        <f t="shared" si="39"/>
        <v>11.599999999999998</v>
      </c>
    </row>
    <row r="279" spans="1:14">
      <c r="A279" s="2">
        <f t="shared" si="33"/>
        <v>288</v>
      </c>
      <c r="B279" s="2">
        <v>278</v>
      </c>
      <c r="C279" s="13">
        <v>40821</v>
      </c>
      <c r="D279" s="14">
        <v>41186</v>
      </c>
      <c r="E279" s="2">
        <v>548</v>
      </c>
      <c r="F279" s="2">
        <v>1721</v>
      </c>
      <c r="G279" s="2">
        <v>1</v>
      </c>
      <c r="H279" s="2">
        <f t="shared" si="34"/>
        <v>5</v>
      </c>
      <c r="I279" s="2" t="str">
        <f t="shared" si="32"/>
        <v>48</v>
      </c>
      <c r="J279" s="10">
        <f t="shared" si="35"/>
        <v>0.24166666666666667</v>
      </c>
      <c r="K279" s="2">
        <f t="shared" si="36"/>
        <v>17</v>
      </c>
      <c r="L279">
        <f t="shared" si="37"/>
        <v>21</v>
      </c>
      <c r="M279" s="10">
        <f t="shared" si="38"/>
        <v>0.72291666666666665</v>
      </c>
      <c r="N279" s="12">
        <f t="shared" si="39"/>
        <v>11.549999999999999</v>
      </c>
    </row>
    <row r="280" spans="1:14">
      <c r="A280" s="2">
        <f t="shared" si="33"/>
        <v>289</v>
      </c>
      <c r="B280" s="2">
        <v>279</v>
      </c>
      <c r="C280" s="13">
        <v>40822</v>
      </c>
      <c r="D280" s="14">
        <v>41187</v>
      </c>
      <c r="E280" s="2">
        <v>550</v>
      </c>
      <c r="F280" s="2">
        <v>1720</v>
      </c>
      <c r="G280" s="2">
        <v>1</v>
      </c>
      <c r="H280" s="2">
        <f t="shared" si="34"/>
        <v>5</v>
      </c>
      <c r="I280" s="2" t="str">
        <f t="shared" si="32"/>
        <v>50</v>
      </c>
      <c r="J280" s="10">
        <f t="shared" si="35"/>
        <v>0.24305555555555555</v>
      </c>
      <c r="K280" s="2">
        <f t="shared" si="36"/>
        <v>17</v>
      </c>
      <c r="L280">
        <f t="shared" si="37"/>
        <v>20</v>
      </c>
      <c r="M280" s="10">
        <f t="shared" si="38"/>
        <v>0.72222222222222221</v>
      </c>
      <c r="N280" s="12">
        <f t="shared" si="39"/>
        <v>11.5</v>
      </c>
    </row>
    <row r="281" spans="1:14">
      <c r="A281" s="2">
        <f t="shared" si="33"/>
        <v>290</v>
      </c>
      <c r="B281" s="2">
        <v>280</v>
      </c>
      <c r="C281" s="13">
        <v>40823</v>
      </c>
      <c r="D281" s="14">
        <v>41188</v>
      </c>
      <c r="E281" s="2">
        <v>551</v>
      </c>
      <c r="F281" s="2">
        <v>1718</v>
      </c>
      <c r="G281" s="2">
        <v>1</v>
      </c>
      <c r="H281" s="2">
        <f t="shared" si="34"/>
        <v>5</v>
      </c>
      <c r="I281" s="2" t="str">
        <f t="shared" si="32"/>
        <v>51</v>
      </c>
      <c r="J281" s="10">
        <f t="shared" si="35"/>
        <v>0.24374999999999999</v>
      </c>
      <c r="K281" s="2">
        <f t="shared" si="36"/>
        <v>17</v>
      </c>
      <c r="L281">
        <f t="shared" si="37"/>
        <v>18</v>
      </c>
      <c r="M281" s="10">
        <f t="shared" si="38"/>
        <v>0.72083333333333333</v>
      </c>
      <c r="N281" s="12">
        <f t="shared" si="39"/>
        <v>11.45</v>
      </c>
    </row>
    <row r="282" spans="1:14">
      <c r="A282" s="2">
        <f t="shared" si="33"/>
        <v>291</v>
      </c>
      <c r="B282" s="2">
        <v>281</v>
      </c>
      <c r="C282" s="13">
        <v>40824</v>
      </c>
      <c r="D282" s="14">
        <v>41189</v>
      </c>
      <c r="E282" s="2">
        <v>552</v>
      </c>
      <c r="F282" s="2">
        <v>1716</v>
      </c>
      <c r="G282" s="2">
        <v>1</v>
      </c>
      <c r="H282" s="2">
        <f t="shared" si="34"/>
        <v>5</v>
      </c>
      <c r="I282" s="2" t="str">
        <f t="shared" si="32"/>
        <v>52</v>
      </c>
      <c r="J282" s="10">
        <f t="shared" si="35"/>
        <v>0.24444444444444444</v>
      </c>
      <c r="K282" s="2">
        <f t="shared" si="36"/>
        <v>17</v>
      </c>
      <c r="L282">
        <f t="shared" si="37"/>
        <v>16</v>
      </c>
      <c r="M282" s="10">
        <f t="shared" si="38"/>
        <v>0.71944444444444444</v>
      </c>
      <c r="N282" s="12">
        <f t="shared" si="39"/>
        <v>11.399999999999999</v>
      </c>
    </row>
    <row r="283" spans="1:14">
      <c r="A283" s="2">
        <f t="shared" si="33"/>
        <v>292</v>
      </c>
      <c r="B283" s="2">
        <v>282</v>
      </c>
      <c r="C283" s="13">
        <v>40825</v>
      </c>
      <c r="D283" s="14">
        <v>41190</v>
      </c>
      <c r="E283" s="2">
        <v>553</v>
      </c>
      <c r="F283" s="2">
        <v>1714</v>
      </c>
      <c r="G283" s="2">
        <v>1</v>
      </c>
      <c r="H283" s="2">
        <f t="shared" si="34"/>
        <v>5</v>
      </c>
      <c r="I283" s="2" t="str">
        <f t="shared" si="32"/>
        <v>53</v>
      </c>
      <c r="J283" s="10">
        <f t="shared" si="35"/>
        <v>0.24513888888888888</v>
      </c>
      <c r="K283" s="2">
        <f t="shared" si="36"/>
        <v>17</v>
      </c>
      <c r="L283">
        <f t="shared" si="37"/>
        <v>14</v>
      </c>
      <c r="M283" s="10">
        <f t="shared" si="38"/>
        <v>0.71805555555555556</v>
      </c>
      <c r="N283" s="12">
        <f t="shared" si="39"/>
        <v>11.35</v>
      </c>
    </row>
    <row r="284" spans="1:14">
      <c r="A284" s="2">
        <f t="shared" si="33"/>
        <v>293</v>
      </c>
      <c r="B284" s="2">
        <v>283</v>
      </c>
      <c r="C284" s="13">
        <v>40826</v>
      </c>
      <c r="D284" s="14">
        <v>41191</v>
      </c>
      <c r="E284" s="2">
        <v>554</v>
      </c>
      <c r="F284" s="2">
        <v>1713</v>
      </c>
      <c r="G284" s="2">
        <v>1</v>
      </c>
      <c r="H284" s="2">
        <f t="shared" si="34"/>
        <v>5</v>
      </c>
      <c r="I284" s="2" t="str">
        <f t="shared" si="32"/>
        <v>54</v>
      </c>
      <c r="J284" s="10">
        <f t="shared" si="35"/>
        <v>0.24583333333333332</v>
      </c>
      <c r="K284" s="2">
        <f t="shared" si="36"/>
        <v>17</v>
      </c>
      <c r="L284">
        <f t="shared" si="37"/>
        <v>13</v>
      </c>
      <c r="M284" s="10">
        <f t="shared" si="38"/>
        <v>0.71736111111111112</v>
      </c>
      <c r="N284" s="12">
        <f t="shared" si="39"/>
        <v>11.316666666666666</v>
      </c>
    </row>
    <row r="285" spans="1:14">
      <c r="A285" s="2">
        <f t="shared" si="33"/>
        <v>294</v>
      </c>
      <c r="B285" s="2">
        <v>284</v>
      </c>
      <c r="C285" s="13">
        <v>40827</v>
      </c>
      <c r="D285" s="14">
        <v>41192</v>
      </c>
      <c r="E285" s="2">
        <v>556</v>
      </c>
      <c r="F285" s="2">
        <v>1711</v>
      </c>
      <c r="G285" s="2">
        <v>1</v>
      </c>
      <c r="H285" s="2">
        <f t="shared" si="34"/>
        <v>5</v>
      </c>
      <c r="I285" s="2" t="str">
        <f t="shared" si="32"/>
        <v>56</v>
      </c>
      <c r="J285" s="10">
        <f t="shared" si="35"/>
        <v>0.24722222222222223</v>
      </c>
      <c r="K285" s="2">
        <f t="shared" si="36"/>
        <v>17</v>
      </c>
      <c r="L285">
        <f t="shared" si="37"/>
        <v>11</v>
      </c>
      <c r="M285" s="10">
        <f t="shared" si="38"/>
        <v>0.71597222222222223</v>
      </c>
      <c r="N285" s="12">
        <f t="shared" si="39"/>
        <v>11.25</v>
      </c>
    </row>
    <row r="286" spans="1:14">
      <c r="A286" s="2">
        <f t="shared" si="33"/>
        <v>295</v>
      </c>
      <c r="B286" s="2">
        <v>285</v>
      </c>
      <c r="C286" s="13">
        <v>40828</v>
      </c>
      <c r="D286" s="14">
        <v>41193</v>
      </c>
      <c r="E286" s="2">
        <v>557</v>
      </c>
      <c r="F286" s="2">
        <v>1709</v>
      </c>
      <c r="G286" s="2">
        <v>1</v>
      </c>
      <c r="H286" s="2">
        <f t="shared" si="34"/>
        <v>5</v>
      </c>
      <c r="I286" s="2" t="str">
        <f t="shared" si="32"/>
        <v>57</v>
      </c>
      <c r="J286" s="10">
        <f t="shared" si="35"/>
        <v>0.24791666666666667</v>
      </c>
      <c r="K286" s="2">
        <f t="shared" si="36"/>
        <v>17</v>
      </c>
      <c r="L286">
        <f t="shared" si="37"/>
        <v>9</v>
      </c>
      <c r="M286" s="10">
        <f t="shared" si="38"/>
        <v>0.71458333333333335</v>
      </c>
      <c r="N286" s="12">
        <f t="shared" si="39"/>
        <v>11.2</v>
      </c>
    </row>
    <row r="287" spans="1:14">
      <c r="A287" s="2">
        <f t="shared" si="33"/>
        <v>296</v>
      </c>
      <c r="B287" s="2">
        <v>286</v>
      </c>
      <c r="C287" s="13">
        <v>40829</v>
      </c>
      <c r="D287" s="14">
        <v>41194</v>
      </c>
      <c r="E287" s="2">
        <v>558</v>
      </c>
      <c r="F287" s="2">
        <v>1708</v>
      </c>
      <c r="G287" s="2">
        <v>1</v>
      </c>
      <c r="H287" s="2">
        <f t="shared" si="34"/>
        <v>5</v>
      </c>
      <c r="I287" s="2" t="str">
        <f t="shared" si="32"/>
        <v>58</v>
      </c>
      <c r="J287" s="10">
        <f t="shared" si="35"/>
        <v>0.24861111111111112</v>
      </c>
      <c r="K287" s="2">
        <f t="shared" si="36"/>
        <v>17</v>
      </c>
      <c r="L287">
        <f t="shared" si="37"/>
        <v>8</v>
      </c>
      <c r="M287" s="10">
        <f t="shared" si="38"/>
        <v>0.71388888888888891</v>
      </c>
      <c r="N287" s="12">
        <f t="shared" si="39"/>
        <v>11.166666666666668</v>
      </c>
    </row>
    <row r="288" spans="1:14">
      <c r="A288" s="2">
        <f t="shared" si="33"/>
        <v>297</v>
      </c>
      <c r="B288" s="2">
        <v>287</v>
      </c>
      <c r="C288" s="13">
        <v>40830</v>
      </c>
      <c r="D288" s="14">
        <v>41195</v>
      </c>
      <c r="E288" s="2">
        <v>559</v>
      </c>
      <c r="F288" s="2">
        <v>1706</v>
      </c>
      <c r="G288" s="2">
        <v>1</v>
      </c>
      <c r="H288" s="2">
        <f t="shared" si="34"/>
        <v>5</v>
      </c>
      <c r="I288" s="2" t="str">
        <f t="shared" si="32"/>
        <v>59</v>
      </c>
      <c r="J288" s="10">
        <f t="shared" si="35"/>
        <v>0.24930555555555556</v>
      </c>
      <c r="K288" s="2">
        <f t="shared" si="36"/>
        <v>17</v>
      </c>
      <c r="L288">
        <f t="shared" si="37"/>
        <v>6</v>
      </c>
      <c r="M288" s="10">
        <f t="shared" si="38"/>
        <v>0.71250000000000002</v>
      </c>
      <c r="N288" s="12">
        <f t="shared" si="39"/>
        <v>11.116666666666667</v>
      </c>
    </row>
    <row r="289" spans="1:14">
      <c r="A289" s="2">
        <f t="shared" si="33"/>
        <v>298</v>
      </c>
      <c r="B289" s="2">
        <v>288</v>
      </c>
      <c r="C289" s="13">
        <v>40831</v>
      </c>
      <c r="D289" s="14">
        <v>41196</v>
      </c>
      <c r="E289" s="2">
        <v>600</v>
      </c>
      <c r="F289" s="2">
        <v>1704</v>
      </c>
      <c r="G289" s="2">
        <v>1</v>
      </c>
      <c r="H289" s="2">
        <f t="shared" si="34"/>
        <v>6</v>
      </c>
      <c r="I289" s="2" t="str">
        <f t="shared" si="32"/>
        <v>00</v>
      </c>
      <c r="J289" s="10">
        <f t="shared" si="35"/>
        <v>0.25</v>
      </c>
      <c r="K289" s="2">
        <f t="shared" si="36"/>
        <v>17</v>
      </c>
      <c r="L289">
        <f t="shared" si="37"/>
        <v>4</v>
      </c>
      <c r="M289" s="10">
        <f t="shared" si="38"/>
        <v>0.71111111111111114</v>
      </c>
      <c r="N289" s="12">
        <f t="shared" si="39"/>
        <v>11.066666666666666</v>
      </c>
    </row>
    <row r="290" spans="1:14">
      <c r="A290" s="2">
        <f t="shared" si="33"/>
        <v>299</v>
      </c>
      <c r="B290" s="2">
        <v>289</v>
      </c>
      <c r="C290" s="13">
        <v>40832</v>
      </c>
      <c r="D290" s="14">
        <v>41197</v>
      </c>
      <c r="E290" s="2">
        <v>602</v>
      </c>
      <c r="F290" s="2">
        <v>1702</v>
      </c>
      <c r="G290" s="2">
        <v>1</v>
      </c>
      <c r="H290" s="2">
        <f t="shared" si="34"/>
        <v>6</v>
      </c>
      <c r="I290" s="2" t="str">
        <f t="shared" si="32"/>
        <v>02</v>
      </c>
      <c r="J290" s="10">
        <f t="shared" si="35"/>
        <v>0.25138888888888888</v>
      </c>
      <c r="K290" s="2">
        <f t="shared" si="36"/>
        <v>17</v>
      </c>
      <c r="L290">
        <f t="shared" si="37"/>
        <v>2</v>
      </c>
      <c r="M290" s="10">
        <f t="shared" si="38"/>
        <v>0.70972222222222225</v>
      </c>
      <c r="N290" s="12">
        <f t="shared" si="39"/>
        <v>11</v>
      </c>
    </row>
    <row r="291" spans="1:14">
      <c r="A291" s="2">
        <f t="shared" si="33"/>
        <v>300</v>
      </c>
      <c r="B291" s="2">
        <v>290</v>
      </c>
      <c r="C291" s="13">
        <v>40833</v>
      </c>
      <c r="D291" s="14">
        <v>41198</v>
      </c>
      <c r="E291" s="2">
        <v>603</v>
      </c>
      <c r="F291" s="2">
        <v>1701</v>
      </c>
      <c r="G291" s="2">
        <v>1</v>
      </c>
      <c r="H291" s="2">
        <f t="shared" si="34"/>
        <v>6</v>
      </c>
      <c r="I291" s="2" t="str">
        <f t="shared" si="32"/>
        <v>03</v>
      </c>
      <c r="J291" s="10">
        <f t="shared" si="35"/>
        <v>0.25208333333333333</v>
      </c>
      <c r="K291" s="2">
        <f t="shared" si="36"/>
        <v>17</v>
      </c>
      <c r="L291">
        <f t="shared" si="37"/>
        <v>1</v>
      </c>
      <c r="M291" s="10">
        <f t="shared" si="38"/>
        <v>0.70902777777777781</v>
      </c>
      <c r="N291" s="12">
        <f t="shared" si="39"/>
        <v>10.966666666666669</v>
      </c>
    </row>
    <row r="292" spans="1:14">
      <c r="A292" s="2">
        <f t="shared" si="33"/>
        <v>301</v>
      </c>
      <c r="B292" s="2">
        <v>291</v>
      </c>
      <c r="C292" s="13">
        <v>40834</v>
      </c>
      <c r="D292" s="14">
        <v>41199</v>
      </c>
      <c r="E292" s="2">
        <v>604</v>
      </c>
      <c r="F292" s="2">
        <v>1659</v>
      </c>
      <c r="G292" s="2">
        <v>1</v>
      </c>
      <c r="H292" s="2">
        <f t="shared" si="34"/>
        <v>6</v>
      </c>
      <c r="I292" s="2" t="str">
        <f t="shared" si="32"/>
        <v>04</v>
      </c>
      <c r="J292" s="10">
        <f t="shared" si="35"/>
        <v>0.25277777777777777</v>
      </c>
      <c r="K292" s="2">
        <f t="shared" si="36"/>
        <v>16</v>
      </c>
      <c r="L292">
        <f t="shared" si="37"/>
        <v>59</v>
      </c>
      <c r="M292" s="10">
        <f t="shared" si="38"/>
        <v>0.70763888888888893</v>
      </c>
      <c r="N292" s="12">
        <f t="shared" si="39"/>
        <v>10.916666666666668</v>
      </c>
    </row>
    <row r="293" spans="1:14">
      <c r="A293" s="2">
        <f t="shared" si="33"/>
        <v>302</v>
      </c>
      <c r="B293" s="2">
        <v>292</v>
      </c>
      <c r="C293" s="13">
        <v>40835</v>
      </c>
      <c r="D293" s="14">
        <v>41200</v>
      </c>
      <c r="E293" s="2">
        <v>605</v>
      </c>
      <c r="F293" s="2">
        <v>1658</v>
      </c>
      <c r="G293" s="2">
        <v>1</v>
      </c>
      <c r="H293" s="2">
        <f t="shared" si="34"/>
        <v>6</v>
      </c>
      <c r="I293" s="2" t="str">
        <f t="shared" si="32"/>
        <v>05</v>
      </c>
      <c r="J293" s="10">
        <f t="shared" si="35"/>
        <v>0.25347222222222221</v>
      </c>
      <c r="K293" s="2">
        <f t="shared" si="36"/>
        <v>16</v>
      </c>
      <c r="L293">
        <f t="shared" si="37"/>
        <v>58</v>
      </c>
      <c r="M293" s="10">
        <f t="shared" si="38"/>
        <v>0.70694444444444449</v>
      </c>
      <c r="N293" s="12">
        <f t="shared" si="39"/>
        <v>10.883333333333335</v>
      </c>
    </row>
    <row r="294" spans="1:14">
      <c r="A294" s="2">
        <f t="shared" si="33"/>
        <v>303</v>
      </c>
      <c r="B294" s="2">
        <v>293</v>
      </c>
      <c r="C294" s="13">
        <v>40836</v>
      </c>
      <c r="D294" s="14">
        <v>41201</v>
      </c>
      <c r="E294" s="2">
        <v>607</v>
      </c>
      <c r="F294" s="2">
        <v>1656</v>
      </c>
      <c r="G294" s="2">
        <v>1</v>
      </c>
      <c r="H294" s="2">
        <f t="shared" si="34"/>
        <v>6</v>
      </c>
      <c r="I294" s="2" t="str">
        <f t="shared" si="32"/>
        <v>07</v>
      </c>
      <c r="J294" s="10">
        <f t="shared" si="35"/>
        <v>0.25486111111111109</v>
      </c>
      <c r="K294" s="2">
        <f t="shared" si="36"/>
        <v>16</v>
      </c>
      <c r="L294">
        <f t="shared" si="37"/>
        <v>56</v>
      </c>
      <c r="M294" s="10">
        <f t="shared" si="38"/>
        <v>0.7055555555555556</v>
      </c>
      <c r="N294" s="12">
        <f t="shared" si="39"/>
        <v>10.816666666666668</v>
      </c>
    </row>
    <row r="295" spans="1:14">
      <c r="A295" s="2">
        <f t="shared" si="33"/>
        <v>304</v>
      </c>
      <c r="B295" s="2">
        <v>294</v>
      </c>
      <c r="C295" s="13">
        <v>40837</v>
      </c>
      <c r="D295" s="14">
        <v>41202</v>
      </c>
      <c r="E295" s="2">
        <v>608</v>
      </c>
      <c r="F295" s="2">
        <v>1654</v>
      </c>
      <c r="G295" s="2">
        <v>1</v>
      </c>
      <c r="H295" s="2">
        <f t="shared" si="34"/>
        <v>6</v>
      </c>
      <c r="I295" s="2" t="str">
        <f t="shared" si="32"/>
        <v>08</v>
      </c>
      <c r="J295" s="10">
        <f t="shared" si="35"/>
        <v>0.25555555555555554</v>
      </c>
      <c r="K295" s="2">
        <f t="shared" si="36"/>
        <v>16</v>
      </c>
      <c r="L295">
        <f t="shared" si="37"/>
        <v>54</v>
      </c>
      <c r="M295" s="10">
        <f t="shared" si="38"/>
        <v>0.70416666666666672</v>
      </c>
      <c r="N295" s="12">
        <f t="shared" si="39"/>
        <v>10.766666666666669</v>
      </c>
    </row>
    <row r="296" spans="1:14">
      <c r="A296" s="2">
        <f t="shared" si="33"/>
        <v>305</v>
      </c>
      <c r="B296" s="2">
        <v>295</v>
      </c>
      <c r="C296" s="13">
        <v>40838</v>
      </c>
      <c r="D296" s="14">
        <v>41203</v>
      </c>
      <c r="E296" s="2">
        <v>609</v>
      </c>
      <c r="F296" s="2">
        <v>1653</v>
      </c>
      <c r="G296" s="2">
        <v>1</v>
      </c>
      <c r="H296" s="2">
        <f t="shared" si="34"/>
        <v>6</v>
      </c>
      <c r="I296" s="2" t="str">
        <f t="shared" si="32"/>
        <v>09</v>
      </c>
      <c r="J296" s="10">
        <f t="shared" si="35"/>
        <v>0.25624999999999998</v>
      </c>
      <c r="K296" s="2">
        <f t="shared" si="36"/>
        <v>16</v>
      </c>
      <c r="L296">
        <f t="shared" si="37"/>
        <v>53</v>
      </c>
      <c r="M296" s="10">
        <f t="shared" si="38"/>
        <v>0.70347222222222228</v>
      </c>
      <c r="N296" s="12">
        <f t="shared" si="39"/>
        <v>10.733333333333334</v>
      </c>
    </row>
    <row r="297" spans="1:14">
      <c r="A297" s="2">
        <f t="shared" si="33"/>
        <v>306</v>
      </c>
      <c r="B297" s="2">
        <v>296</v>
      </c>
      <c r="C297" s="13">
        <v>40839</v>
      </c>
      <c r="D297" s="14">
        <v>41204</v>
      </c>
      <c r="E297" s="2">
        <v>610</v>
      </c>
      <c r="F297" s="2">
        <v>1651</v>
      </c>
      <c r="G297" s="2">
        <v>1</v>
      </c>
      <c r="H297" s="2">
        <f t="shared" si="34"/>
        <v>6</v>
      </c>
      <c r="I297" s="2" t="str">
        <f t="shared" si="32"/>
        <v>10</v>
      </c>
      <c r="J297" s="10">
        <f t="shared" si="35"/>
        <v>0.25694444444444442</v>
      </c>
      <c r="K297" s="2">
        <f t="shared" si="36"/>
        <v>16</v>
      </c>
      <c r="L297">
        <f t="shared" si="37"/>
        <v>51</v>
      </c>
      <c r="M297" s="10">
        <f t="shared" si="38"/>
        <v>0.70208333333333328</v>
      </c>
      <c r="N297" s="12">
        <f t="shared" si="39"/>
        <v>10.683333333333334</v>
      </c>
    </row>
    <row r="298" spans="1:14">
      <c r="A298" s="2">
        <f t="shared" si="33"/>
        <v>307</v>
      </c>
      <c r="B298" s="2">
        <v>297</v>
      </c>
      <c r="C298" s="13">
        <v>40840</v>
      </c>
      <c r="D298" s="14">
        <v>41205</v>
      </c>
      <c r="E298" s="2">
        <v>612</v>
      </c>
      <c r="F298" s="2">
        <v>1650</v>
      </c>
      <c r="G298" s="2">
        <v>1</v>
      </c>
      <c r="H298" s="2">
        <f t="shared" si="34"/>
        <v>6</v>
      </c>
      <c r="I298" s="2" t="str">
        <f t="shared" si="32"/>
        <v>12</v>
      </c>
      <c r="J298" s="10">
        <f t="shared" si="35"/>
        <v>0.25833333333333336</v>
      </c>
      <c r="K298" s="2">
        <f t="shared" si="36"/>
        <v>16</v>
      </c>
      <c r="L298">
        <f t="shared" si="37"/>
        <v>50</v>
      </c>
      <c r="M298" s="10">
        <f t="shared" si="38"/>
        <v>0.70138888888888884</v>
      </c>
      <c r="N298" s="12">
        <f t="shared" si="39"/>
        <v>10.633333333333331</v>
      </c>
    </row>
    <row r="299" spans="1:14">
      <c r="A299" s="2">
        <f t="shared" si="33"/>
        <v>308</v>
      </c>
      <c r="B299" s="2">
        <v>298</v>
      </c>
      <c r="C299" s="13">
        <v>40841</v>
      </c>
      <c r="D299" s="14">
        <v>41206</v>
      </c>
      <c r="E299" s="2">
        <v>613</v>
      </c>
      <c r="F299" s="2">
        <v>1648</v>
      </c>
      <c r="G299" s="2">
        <v>1</v>
      </c>
      <c r="H299" s="2">
        <f t="shared" si="34"/>
        <v>6</v>
      </c>
      <c r="I299" s="2" t="str">
        <f t="shared" si="32"/>
        <v>13</v>
      </c>
      <c r="J299" s="10">
        <f t="shared" si="35"/>
        <v>0.2590277777777778</v>
      </c>
      <c r="K299" s="2">
        <f t="shared" si="36"/>
        <v>16</v>
      </c>
      <c r="L299">
        <f t="shared" si="37"/>
        <v>48</v>
      </c>
      <c r="M299" s="10">
        <f t="shared" si="38"/>
        <v>0.7</v>
      </c>
      <c r="N299" s="12">
        <f t="shared" si="39"/>
        <v>10.583333333333332</v>
      </c>
    </row>
    <row r="300" spans="1:14">
      <c r="A300" s="2">
        <f t="shared" si="33"/>
        <v>309</v>
      </c>
      <c r="B300" s="2">
        <v>299</v>
      </c>
      <c r="C300" s="13">
        <v>40842</v>
      </c>
      <c r="D300" s="14">
        <v>41207</v>
      </c>
      <c r="E300" s="2">
        <v>614</v>
      </c>
      <c r="F300" s="2">
        <v>1647</v>
      </c>
      <c r="G300" s="2">
        <v>1</v>
      </c>
      <c r="H300" s="2">
        <f t="shared" si="34"/>
        <v>6</v>
      </c>
      <c r="I300" s="2" t="str">
        <f t="shared" si="32"/>
        <v>14</v>
      </c>
      <c r="J300" s="10">
        <f t="shared" si="35"/>
        <v>0.25972222222222224</v>
      </c>
      <c r="K300" s="2">
        <f t="shared" si="36"/>
        <v>16</v>
      </c>
      <c r="L300">
        <f t="shared" si="37"/>
        <v>47</v>
      </c>
      <c r="M300" s="10">
        <f t="shared" si="38"/>
        <v>0.69930555555555551</v>
      </c>
      <c r="N300" s="12">
        <f t="shared" si="39"/>
        <v>10.549999999999999</v>
      </c>
    </row>
    <row r="301" spans="1:14">
      <c r="A301" s="2">
        <f t="shared" si="33"/>
        <v>310</v>
      </c>
      <c r="B301" s="2">
        <v>300</v>
      </c>
      <c r="C301" s="13">
        <v>40843</v>
      </c>
      <c r="D301" s="14">
        <v>41208</v>
      </c>
      <c r="E301" s="2">
        <v>616</v>
      </c>
      <c r="F301" s="2">
        <v>1645</v>
      </c>
      <c r="G301" s="2">
        <v>1</v>
      </c>
      <c r="H301" s="2">
        <f t="shared" si="34"/>
        <v>6</v>
      </c>
      <c r="I301" s="2" t="str">
        <f t="shared" si="32"/>
        <v>16</v>
      </c>
      <c r="J301" s="10">
        <f t="shared" si="35"/>
        <v>0.26111111111111113</v>
      </c>
      <c r="K301" s="2">
        <f t="shared" si="36"/>
        <v>16</v>
      </c>
      <c r="L301">
        <f t="shared" si="37"/>
        <v>45</v>
      </c>
      <c r="M301" s="10">
        <f t="shared" si="38"/>
        <v>0.69791666666666663</v>
      </c>
      <c r="N301" s="12">
        <f t="shared" si="39"/>
        <v>10.483333333333333</v>
      </c>
    </row>
    <row r="302" spans="1:14">
      <c r="A302" s="2">
        <f t="shared" si="33"/>
        <v>311</v>
      </c>
      <c r="B302" s="2">
        <v>301</v>
      </c>
      <c r="C302" s="13">
        <v>40844</v>
      </c>
      <c r="D302" s="14">
        <v>41209</v>
      </c>
      <c r="E302" s="2">
        <v>617</v>
      </c>
      <c r="F302" s="2">
        <v>1644</v>
      </c>
      <c r="G302" s="2">
        <v>1</v>
      </c>
      <c r="H302" s="2">
        <f t="shared" si="34"/>
        <v>6</v>
      </c>
      <c r="I302" s="2" t="str">
        <f t="shared" si="32"/>
        <v>17</v>
      </c>
      <c r="J302" s="10">
        <f t="shared" si="35"/>
        <v>0.26180555555555557</v>
      </c>
      <c r="K302" s="2">
        <f t="shared" si="36"/>
        <v>16</v>
      </c>
      <c r="L302">
        <f t="shared" si="37"/>
        <v>44</v>
      </c>
      <c r="M302" s="10">
        <f t="shared" si="38"/>
        <v>0.69722222222222219</v>
      </c>
      <c r="N302" s="12">
        <f t="shared" si="39"/>
        <v>10.45</v>
      </c>
    </row>
    <row r="303" spans="1:14">
      <c r="A303" s="2">
        <f t="shared" si="33"/>
        <v>312</v>
      </c>
      <c r="B303" s="2">
        <v>302</v>
      </c>
      <c r="C303" s="13">
        <v>40845</v>
      </c>
      <c r="D303" s="14">
        <v>41210</v>
      </c>
      <c r="E303" s="2">
        <v>618</v>
      </c>
      <c r="F303" s="2">
        <v>1642</v>
      </c>
      <c r="G303" s="2">
        <v>1</v>
      </c>
      <c r="H303" s="2">
        <f t="shared" si="34"/>
        <v>6</v>
      </c>
      <c r="I303" s="2" t="str">
        <f t="shared" si="32"/>
        <v>18</v>
      </c>
      <c r="J303" s="10">
        <f t="shared" si="35"/>
        <v>0.26250000000000001</v>
      </c>
      <c r="K303" s="2">
        <f t="shared" si="36"/>
        <v>16</v>
      </c>
      <c r="L303">
        <f t="shared" si="37"/>
        <v>42</v>
      </c>
      <c r="M303" s="10">
        <f t="shared" si="38"/>
        <v>0.6958333333333333</v>
      </c>
      <c r="N303" s="12">
        <f t="shared" si="39"/>
        <v>10.399999999999999</v>
      </c>
    </row>
    <row r="304" spans="1:14">
      <c r="A304" s="2">
        <f t="shared" si="33"/>
        <v>313</v>
      </c>
      <c r="B304" s="2">
        <v>303</v>
      </c>
      <c r="C304" s="13">
        <v>40846</v>
      </c>
      <c r="D304" s="14">
        <v>41211</v>
      </c>
      <c r="E304" s="2">
        <v>619</v>
      </c>
      <c r="F304" s="2">
        <v>1641</v>
      </c>
      <c r="G304" s="2">
        <v>1</v>
      </c>
      <c r="H304" s="2">
        <f t="shared" si="34"/>
        <v>6</v>
      </c>
      <c r="I304" s="2" t="str">
        <f t="shared" si="32"/>
        <v>19</v>
      </c>
      <c r="J304" s="10">
        <f t="shared" si="35"/>
        <v>0.26319444444444445</v>
      </c>
      <c r="K304" s="2">
        <f t="shared" si="36"/>
        <v>16</v>
      </c>
      <c r="L304">
        <f t="shared" si="37"/>
        <v>41</v>
      </c>
      <c r="M304" s="10">
        <f t="shared" si="38"/>
        <v>0.69513888888888886</v>
      </c>
      <c r="N304" s="12">
        <f t="shared" si="39"/>
        <v>10.366666666666665</v>
      </c>
    </row>
    <row r="305" spans="1:14">
      <c r="A305" s="2">
        <f t="shared" si="33"/>
        <v>314</v>
      </c>
      <c r="B305" s="2">
        <v>304</v>
      </c>
      <c r="C305" s="13">
        <v>40847</v>
      </c>
      <c r="D305" s="14">
        <v>41212</v>
      </c>
      <c r="E305" s="2">
        <v>621</v>
      </c>
      <c r="F305" s="2">
        <v>1639</v>
      </c>
      <c r="G305" s="2">
        <v>1</v>
      </c>
      <c r="H305" s="2">
        <f t="shared" si="34"/>
        <v>6</v>
      </c>
      <c r="I305" s="2" t="str">
        <f t="shared" si="32"/>
        <v>21</v>
      </c>
      <c r="J305" s="10">
        <f t="shared" si="35"/>
        <v>0.26458333333333334</v>
      </c>
      <c r="K305" s="2">
        <f t="shared" si="36"/>
        <v>16</v>
      </c>
      <c r="L305">
        <f t="shared" si="37"/>
        <v>39</v>
      </c>
      <c r="M305" s="10">
        <f t="shared" si="38"/>
        <v>0.69374999999999998</v>
      </c>
      <c r="N305" s="12">
        <f t="shared" si="39"/>
        <v>10.299999999999999</v>
      </c>
    </row>
    <row r="306" spans="1:14">
      <c r="A306" s="2">
        <f t="shared" si="33"/>
        <v>315</v>
      </c>
      <c r="B306" s="2">
        <v>305</v>
      </c>
      <c r="C306" s="13">
        <v>40848</v>
      </c>
      <c r="D306" s="14">
        <v>41213</v>
      </c>
      <c r="E306" s="2">
        <v>622</v>
      </c>
      <c r="F306" s="2">
        <v>1638</v>
      </c>
      <c r="G306" s="2">
        <v>1</v>
      </c>
      <c r="H306" s="2">
        <f t="shared" si="34"/>
        <v>6</v>
      </c>
      <c r="I306" s="2" t="str">
        <f t="shared" si="32"/>
        <v>22</v>
      </c>
      <c r="J306" s="10">
        <f t="shared" si="35"/>
        <v>0.26527777777777778</v>
      </c>
      <c r="K306" s="2">
        <f t="shared" si="36"/>
        <v>16</v>
      </c>
      <c r="L306">
        <f t="shared" si="37"/>
        <v>38</v>
      </c>
      <c r="M306" s="10">
        <f t="shared" si="38"/>
        <v>0.69305555555555554</v>
      </c>
      <c r="N306" s="12">
        <f t="shared" si="39"/>
        <v>10.266666666666666</v>
      </c>
    </row>
    <row r="307" spans="1:14">
      <c r="A307" s="2">
        <f t="shared" si="33"/>
        <v>316</v>
      </c>
      <c r="B307" s="2">
        <v>306</v>
      </c>
      <c r="C307" s="13">
        <v>40849</v>
      </c>
      <c r="D307" s="14">
        <v>41214</v>
      </c>
      <c r="E307" s="2">
        <v>623</v>
      </c>
      <c r="F307" s="2">
        <v>1637</v>
      </c>
      <c r="G307" s="2">
        <v>1</v>
      </c>
      <c r="H307" s="2">
        <f t="shared" si="34"/>
        <v>6</v>
      </c>
      <c r="I307" s="2" t="str">
        <f t="shared" si="32"/>
        <v>23</v>
      </c>
      <c r="J307" s="10">
        <f t="shared" si="35"/>
        <v>0.26597222222222222</v>
      </c>
      <c r="K307" s="2">
        <f t="shared" si="36"/>
        <v>16</v>
      </c>
      <c r="L307">
        <f t="shared" si="37"/>
        <v>37</v>
      </c>
      <c r="M307" s="10">
        <f t="shared" si="38"/>
        <v>0.69236111111111109</v>
      </c>
      <c r="N307" s="12">
        <f t="shared" si="39"/>
        <v>10.233333333333333</v>
      </c>
    </row>
    <row r="308" spans="1:14">
      <c r="A308" s="2">
        <f t="shared" si="33"/>
        <v>317</v>
      </c>
      <c r="B308" s="2">
        <v>307</v>
      </c>
      <c r="C308" s="13">
        <v>40850</v>
      </c>
      <c r="D308" s="14">
        <v>41215</v>
      </c>
      <c r="E308" s="2">
        <v>625</v>
      </c>
      <c r="F308" s="2">
        <v>1635</v>
      </c>
      <c r="G308" s="2">
        <v>1</v>
      </c>
      <c r="H308" s="2">
        <f t="shared" si="34"/>
        <v>6</v>
      </c>
      <c r="I308" s="2" t="str">
        <f t="shared" si="32"/>
        <v>25</v>
      </c>
      <c r="J308" s="10">
        <f t="shared" si="35"/>
        <v>0.2673611111111111</v>
      </c>
      <c r="K308" s="2">
        <f t="shared" si="36"/>
        <v>16</v>
      </c>
      <c r="L308">
        <f t="shared" si="37"/>
        <v>35</v>
      </c>
      <c r="M308" s="10">
        <f t="shared" si="38"/>
        <v>0.69097222222222221</v>
      </c>
      <c r="N308" s="12">
        <f t="shared" si="39"/>
        <v>10.166666666666666</v>
      </c>
    </row>
    <row r="309" spans="1:14">
      <c r="A309" s="2">
        <f t="shared" si="33"/>
        <v>318</v>
      </c>
      <c r="B309" s="2">
        <v>308</v>
      </c>
      <c r="C309" s="13">
        <v>40851</v>
      </c>
      <c r="D309" s="14">
        <v>41216</v>
      </c>
      <c r="E309" s="2">
        <v>626</v>
      </c>
      <c r="F309" s="2">
        <v>1634</v>
      </c>
      <c r="G309" s="2">
        <v>1</v>
      </c>
      <c r="H309" s="2">
        <f t="shared" si="34"/>
        <v>6</v>
      </c>
      <c r="I309" s="2" t="str">
        <f t="shared" si="32"/>
        <v>26</v>
      </c>
      <c r="J309" s="10">
        <f t="shared" si="35"/>
        <v>0.26805555555555555</v>
      </c>
      <c r="K309" s="2">
        <f t="shared" si="36"/>
        <v>16</v>
      </c>
      <c r="L309">
        <f t="shared" si="37"/>
        <v>34</v>
      </c>
      <c r="M309" s="10">
        <f t="shared" si="38"/>
        <v>0.69027777777777777</v>
      </c>
      <c r="N309" s="12">
        <f t="shared" si="39"/>
        <v>10.133333333333333</v>
      </c>
    </row>
    <row r="310" spans="1:14">
      <c r="A310" s="2">
        <f t="shared" si="33"/>
        <v>319</v>
      </c>
      <c r="B310" s="2">
        <v>309</v>
      </c>
      <c r="C310" s="13">
        <v>40852</v>
      </c>
      <c r="D310" s="14">
        <v>41217</v>
      </c>
      <c r="E310" s="2">
        <v>627</v>
      </c>
      <c r="F310" s="2">
        <v>1633</v>
      </c>
      <c r="G310" s="2">
        <v>1</v>
      </c>
      <c r="H310" s="2">
        <f t="shared" si="34"/>
        <v>6</v>
      </c>
      <c r="I310" s="2" t="str">
        <f t="shared" si="32"/>
        <v>27</v>
      </c>
      <c r="J310" s="10">
        <f t="shared" si="35"/>
        <v>0.26874999999999999</v>
      </c>
      <c r="K310" s="2">
        <f t="shared" si="36"/>
        <v>16</v>
      </c>
      <c r="L310">
        <f t="shared" si="37"/>
        <v>33</v>
      </c>
      <c r="M310" s="10">
        <f t="shared" si="38"/>
        <v>0.68958333333333333</v>
      </c>
      <c r="N310" s="12">
        <f t="shared" si="39"/>
        <v>10.1</v>
      </c>
    </row>
    <row r="311" spans="1:14">
      <c r="A311" s="2">
        <f t="shared" si="33"/>
        <v>320</v>
      </c>
      <c r="B311" s="2">
        <v>310</v>
      </c>
      <c r="C311" s="13">
        <v>40853</v>
      </c>
      <c r="D311" s="14">
        <v>41218</v>
      </c>
      <c r="E311" s="2">
        <v>629</v>
      </c>
      <c r="F311" s="2">
        <v>1632</v>
      </c>
      <c r="G311" s="2">
        <v>1</v>
      </c>
      <c r="H311" s="2">
        <f t="shared" si="34"/>
        <v>6</v>
      </c>
      <c r="I311" s="2" t="str">
        <f t="shared" si="32"/>
        <v>29</v>
      </c>
      <c r="J311" s="10">
        <f t="shared" si="35"/>
        <v>0.27013888888888887</v>
      </c>
      <c r="K311" s="2">
        <f t="shared" si="36"/>
        <v>16</v>
      </c>
      <c r="L311">
        <f t="shared" si="37"/>
        <v>32</v>
      </c>
      <c r="M311" s="10">
        <f t="shared" si="38"/>
        <v>0.68888888888888888</v>
      </c>
      <c r="N311" s="12">
        <f t="shared" si="39"/>
        <v>10.050000000000001</v>
      </c>
    </row>
    <row r="312" spans="1:14">
      <c r="A312" s="2">
        <f t="shared" si="33"/>
        <v>321</v>
      </c>
      <c r="B312" s="2">
        <v>311</v>
      </c>
      <c r="C312" s="13">
        <v>40854</v>
      </c>
      <c r="D312" s="14">
        <v>41219</v>
      </c>
      <c r="E312" s="2">
        <v>630</v>
      </c>
      <c r="F312" s="2">
        <v>1630</v>
      </c>
      <c r="G312" s="2">
        <v>0</v>
      </c>
      <c r="H312" s="2">
        <f t="shared" si="34"/>
        <v>6</v>
      </c>
      <c r="I312" s="2" t="str">
        <f t="shared" si="32"/>
        <v>30</v>
      </c>
      <c r="J312" s="10">
        <f t="shared" si="35"/>
        <v>0.27083333333333331</v>
      </c>
      <c r="K312" s="2">
        <f t="shared" si="36"/>
        <v>16</v>
      </c>
      <c r="L312">
        <f t="shared" si="37"/>
        <v>30</v>
      </c>
      <c r="M312" s="10">
        <f t="shared" si="38"/>
        <v>0.6875</v>
      </c>
      <c r="N312" s="12">
        <f t="shared" si="39"/>
        <v>10</v>
      </c>
    </row>
    <row r="313" spans="1:14">
      <c r="A313" s="2">
        <f t="shared" si="33"/>
        <v>322</v>
      </c>
      <c r="B313" s="2">
        <v>312</v>
      </c>
      <c r="C313" s="13">
        <v>40855</v>
      </c>
      <c r="D313" s="14">
        <v>41220</v>
      </c>
      <c r="E313" s="2">
        <v>631</v>
      </c>
      <c r="F313" s="2">
        <v>1629</v>
      </c>
      <c r="G313" s="2">
        <v>0</v>
      </c>
      <c r="H313" s="2">
        <f t="shared" si="34"/>
        <v>6</v>
      </c>
      <c r="I313" s="2" t="str">
        <f t="shared" si="32"/>
        <v>31</v>
      </c>
      <c r="J313" s="10">
        <f t="shared" si="35"/>
        <v>0.27152777777777776</v>
      </c>
      <c r="K313" s="2">
        <f t="shared" si="36"/>
        <v>16</v>
      </c>
      <c r="L313">
        <f t="shared" si="37"/>
        <v>29</v>
      </c>
      <c r="M313" s="10">
        <f t="shared" si="38"/>
        <v>0.68680555555555556</v>
      </c>
      <c r="N313" s="12">
        <f t="shared" si="39"/>
        <v>9.9666666666666668</v>
      </c>
    </row>
    <row r="314" spans="1:14">
      <c r="A314" s="2">
        <f t="shared" si="33"/>
        <v>323</v>
      </c>
      <c r="B314" s="2">
        <v>313</v>
      </c>
      <c r="C314" s="13">
        <v>40856</v>
      </c>
      <c r="D314" s="14">
        <v>41221</v>
      </c>
      <c r="E314" s="2">
        <v>633</v>
      </c>
      <c r="F314" s="2">
        <v>1628</v>
      </c>
      <c r="G314" s="2">
        <v>0</v>
      </c>
      <c r="H314" s="2">
        <f t="shared" si="34"/>
        <v>6</v>
      </c>
      <c r="I314" s="2" t="str">
        <f t="shared" si="32"/>
        <v>33</v>
      </c>
      <c r="J314" s="10">
        <f t="shared" si="35"/>
        <v>0.27291666666666664</v>
      </c>
      <c r="K314" s="2">
        <f t="shared" si="36"/>
        <v>16</v>
      </c>
      <c r="L314">
        <f t="shared" si="37"/>
        <v>28</v>
      </c>
      <c r="M314" s="10">
        <f t="shared" si="38"/>
        <v>0.68611111111111112</v>
      </c>
      <c r="N314" s="12">
        <f t="shared" si="39"/>
        <v>9.9166666666666679</v>
      </c>
    </row>
    <row r="315" spans="1:14">
      <c r="A315" s="2">
        <f t="shared" si="33"/>
        <v>324</v>
      </c>
      <c r="B315" s="2">
        <v>314</v>
      </c>
      <c r="C315" s="13">
        <v>40857</v>
      </c>
      <c r="D315" s="14">
        <v>41222</v>
      </c>
      <c r="E315" s="2">
        <v>634</v>
      </c>
      <c r="F315" s="2">
        <v>1627</v>
      </c>
      <c r="G315" s="2">
        <v>0</v>
      </c>
      <c r="H315" s="2">
        <f t="shared" si="34"/>
        <v>6</v>
      </c>
      <c r="I315" s="2" t="str">
        <f t="shared" si="32"/>
        <v>34</v>
      </c>
      <c r="J315" s="10">
        <f t="shared" si="35"/>
        <v>0.27361111111111114</v>
      </c>
      <c r="K315" s="2">
        <f t="shared" si="36"/>
        <v>16</v>
      </c>
      <c r="L315">
        <f t="shared" si="37"/>
        <v>27</v>
      </c>
      <c r="M315" s="10">
        <f t="shared" si="38"/>
        <v>0.68541666666666667</v>
      </c>
      <c r="N315" s="12">
        <f t="shared" si="39"/>
        <v>9.8833333333333329</v>
      </c>
    </row>
    <row r="316" spans="1:14">
      <c r="A316" s="2">
        <f t="shared" si="33"/>
        <v>325</v>
      </c>
      <c r="B316" s="2">
        <v>315</v>
      </c>
      <c r="C316" s="13">
        <v>40858</v>
      </c>
      <c r="D316" s="14">
        <v>41223</v>
      </c>
      <c r="E316" s="2">
        <v>635</v>
      </c>
      <c r="F316" s="2">
        <v>1626</v>
      </c>
      <c r="G316" s="2">
        <v>0</v>
      </c>
      <c r="H316" s="2">
        <f t="shared" si="34"/>
        <v>6</v>
      </c>
      <c r="I316" s="2" t="str">
        <f t="shared" si="32"/>
        <v>35</v>
      </c>
      <c r="J316" s="10">
        <f t="shared" si="35"/>
        <v>0.27430555555555558</v>
      </c>
      <c r="K316" s="2">
        <f t="shared" si="36"/>
        <v>16</v>
      </c>
      <c r="L316">
        <f t="shared" si="37"/>
        <v>26</v>
      </c>
      <c r="M316" s="10">
        <f t="shared" si="38"/>
        <v>0.68472222222222223</v>
      </c>
      <c r="N316" s="12">
        <f t="shared" si="39"/>
        <v>9.85</v>
      </c>
    </row>
    <row r="317" spans="1:14">
      <c r="A317" s="2">
        <f t="shared" si="33"/>
        <v>326</v>
      </c>
      <c r="B317" s="2">
        <v>316</v>
      </c>
      <c r="C317" s="13">
        <v>40859</v>
      </c>
      <c r="D317" s="14">
        <v>41224</v>
      </c>
      <c r="E317" s="2">
        <v>637</v>
      </c>
      <c r="F317" s="2">
        <v>1625</v>
      </c>
      <c r="G317" s="2">
        <v>0</v>
      </c>
      <c r="H317" s="2">
        <f t="shared" si="34"/>
        <v>6</v>
      </c>
      <c r="I317" s="2" t="str">
        <f t="shared" si="32"/>
        <v>37</v>
      </c>
      <c r="J317" s="10">
        <f t="shared" si="35"/>
        <v>0.27569444444444446</v>
      </c>
      <c r="K317" s="2">
        <f t="shared" si="36"/>
        <v>16</v>
      </c>
      <c r="L317">
        <f t="shared" si="37"/>
        <v>25</v>
      </c>
      <c r="M317" s="10">
        <f t="shared" si="38"/>
        <v>0.68402777777777779</v>
      </c>
      <c r="N317" s="12">
        <f t="shared" si="39"/>
        <v>9.8000000000000007</v>
      </c>
    </row>
    <row r="318" spans="1:14">
      <c r="A318" s="2">
        <f t="shared" si="33"/>
        <v>327</v>
      </c>
      <c r="B318" s="2">
        <v>317</v>
      </c>
      <c r="C318" s="13">
        <v>40860</v>
      </c>
      <c r="D318" s="14">
        <v>41225</v>
      </c>
      <c r="E318" s="2">
        <v>638</v>
      </c>
      <c r="F318" s="2">
        <v>1624</v>
      </c>
      <c r="G318" s="2">
        <v>0</v>
      </c>
      <c r="H318" s="2">
        <f t="shared" si="34"/>
        <v>6</v>
      </c>
      <c r="I318" s="2" t="str">
        <f t="shared" si="32"/>
        <v>38</v>
      </c>
      <c r="J318" s="10">
        <f t="shared" si="35"/>
        <v>0.27638888888888891</v>
      </c>
      <c r="K318" s="2">
        <f t="shared" si="36"/>
        <v>16</v>
      </c>
      <c r="L318">
        <f t="shared" si="37"/>
        <v>24</v>
      </c>
      <c r="M318" s="10">
        <f t="shared" si="38"/>
        <v>0.68333333333333335</v>
      </c>
      <c r="N318" s="12">
        <f t="shared" si="39"/>
        <v>9.7666666666666657</v>
      </c>
    </row>
    <row r="319" spans="1:14">
      <c r="A319" s="2">
        <f t="shared" si="33"/>
        <v>328</v>
      </c>
      <c r="B319" s="2">
        <v>318</v>
      </c>
      <c r="C319" s="13">
        <v>40861</v>
      </c>
      <c r="D319" s="14">
        <v>41226</v>
      </c>
      <c r="E319" s="2">
        <v>639</v>
      </c>
      <c r="F319" s="2">
        <v>1623</v>
      </c>
      <c r="G319" s="2">
        <v>0</v>
      </c>
      <c r="H319" s="2">
        <f t="shared" si="34"/>
        <v>6</v>
      </c>
      <c r="I319" s="2" t="str">
        <f t="shared" si="32"/>
        <v>39</v>
      </c>
      <c r="J319" s="10">
        <f t="shared" si="35"/>
        <v>0.27708333333333335</v>
      </c>
      <c r="K319" s="2">
        <f t="shared" si="36"/>
        <v>16</v>
      </c>
      <c r="L319">
        <f t="shared" si="37"/>
        <v>23</v>
      </c>
      <c r="M319" s="10">
        <f t="shared" si="38"/>
        <v>0.68263888888888891</v>
      </c>
      <c r="N319" s="12">
        <f t="shared" si="39"/>
        <v>9.7333333333333343</v>
      </c>
    </row>
    <row r="320" spans="1:14">
      <c r="A320" s="2">
        <f t="shared" si="33"/>
        <v>329</v>
      </c>
      <c r="B320" s="2">
        <v>319</v>
      </c>
      <c r="C320" s="13">
        <v>40862</v>
      </c>
      <c r="D320" s="14">
        <v>41227</v>
      </c>
      <c r="E320" s="2">
        <v>640</v>
      </c>
      <c r="F320" s="2">
        <v>1622</v>
      </c>
      <c r="G320" s="2">
        <v>0</v>
      </c>
      <c r="H320" s="2">
        <f t="shared" si="34"/>
        <v>6</v>
      </c>
      <c r="I320" s="2" t="str">
        <f t="shared" si="32"/>
        <v>40</v>
      </c>
      <c r="J320" s="10">
        <f t="shared" si="35"/>
        <v>0.27777777777777779</v>
      </c>
      <c r="K320" s="2">
        <f t="shared" si="36"/>
        <v>16</v>
      </c>
      <c r="L320">
        <f t="shared" si="37"/>
        <v>22</v>
      </c>
      <c r="M320" s="10">
        <f t="shared" si="38"/>
        <v>0.68194444444444446</v>
      </c>
      <c r="N320" s="12">
        <f t="shared" si="39"/>
        <v>9.6999999999999993</v>
      </c>
    </row>
    <row r="321" spans="1:14">
      <c r="A321" s="2">
        <f t="shared" si="33"/>
        <v>330</v>
      </c>
      <c r="B321" s="2">
        <v>320</v>
      </c>
      <c r="C321" s="13">
        <v>40863</v>
      </c>
      <c r="D321" s="14">
        <v>41228</v>
      </c>
      <c r="E321" s="2">
        <v>642</v>
      </c>
      <c r="F321" s="2">
        <v>1621</v>
      </c>
      <c r="G321" s="2">
        <v>0</v>
      </c>
      <c r="H321" s="2">
        <f t="shared" si="34"/>
        <v>6</v>
      </c>
      <c r="I321" s="2" t="str">
        <f t="shared" si="32"/>
        <v>42</v>
      </c>
      <c r="J321" s="10">
        <f t="shared" si="35"/>
        <v>0.27916666666666667</v>
      </c>
      <c r="K321" s="2">
        <f t="shared" si="36"/>
        <v>16</v>
      </c>
      <c r="L321">
        <f t="shared" si="37"/>
        <v>21</v>
      </c>
      <c r="M321" s="10">
        <f t="shared" si="38"/>
        <v>0.68125000000000002</v>
      </c>
      <c r="N321" s="12">
        <f t="shared" si="39"/>
        <v>9.65</v>
      </c>
    </row>
    <row r="322" spans="1:14">
      <c r="A322" s="2">
        <f t="shared" si="33"/>
        <v>331</v>
      </c>
      <c r="B322" s="2">
        <v>321</v>
      </c>
      <c r="C322" s="13">
        <v>40864</v>
      </c>
      <c r="D322" s="14">
        <v>41229</v>
      </c>
      <c r="E322" s="2">
        <v>643</v>
      </c>
      <c r="F322" s="2">
        <v>1620</v>
      </c>
      <c r="G322" s="2">
        <v>0</v>
      </c>
      <c r="H322" s="2">
        <f t="shared" si="34"/>
        <v>6</v>
      </c>
      <c r="I322" s="2" t="str">
        <f t="shared" ref="I322:I367" si="40">RIGHT(E322,2)</f>
        <v>43</v>
      </c>
      <c r="J322" s="10">
        <f t="shared" si="35"/>
        <v>0.27986111111111112</v>
      </c>
      <c r="K322" s="2">
        <f t="shared" si="36"/>
        <v>16</v>
      </c>
      <c r="L322">
        <f t="shared" si="37"/>
        <v>20</v>
      </c>
      <c r="M322" s="10">
        <f t="shared" si="38"/>
        <v>0.68055555555555558</v>
      </c>
      <c r="N322" s="12">
        <f t="shared" si="39"/>
        <v>9.6166666666666671</v>
      </c>
    </row>
    <row r="323" spans="1:14">
      <c r="A323" s="2">
        <f t="shared" ref="A323:A367" si="41">B323+10</f>
        <v>332</v>
      </c>
      <c r="B323" s="2">
        <v>322</v>
      </c>
      <c r="C323" s="13">
        <v>40865</v>
      </c>
      <c r="D323" s="14">
        <v>41230</v>
      </c>
      <c r="E323" s="2">
        <v>644</v>
      </c>
      <c r="F323" s="2">
        <v>1619</v>
      </c>
      <c r="G323" s="2">
        <v>0</v>
      </c>
      <c r="H323" s="2">
        <f t="shared" ref="H323:H367" si="42">VALUE(LEFT(E323,1))</f>
        <v>6</v>
      </c>
      <c r="I323" s="2" t="str">
        <f t="shared" si="40"/>
        <v>44</v>
      </c>
      <c r="J323" s="10">
        <f t="shared" ref="J323:J367" si="43">TIME(H323,I323,0)</f>
        <v>0.28055555555555556</v>
      </c>
      <c r="K323" s="2">
        <f t="shared" ref="K323:K367" si="44">VALUE(LEFT(F323,2))</f>
        <v>16</v>
      </c>
      <c r="L323">
        <f t="shared" ref="L323:L367" si="45">VALUE(RIGHT(F323,2))</f>
        <v>19</v>
      </c>
      <c r="M323" s="10">
        <f t="shared" ref="M323:M367" si="46">TIME(K323,L323,0)</f>
        <v>0.67986111111111114</v>
      </c>
      <c r="N323" s="12">
        <f t="shared" ref="N323:N367" si="47">(M323-J323)*24</f>
        <v>9.5833333333333339</v>
      </c>
    </row>
    <row r="324" spans="1:14">
      <c r="A324" s="2">
        <f t="shared" si="41"/>
        <v>333</v>
      </c>
      <c r="B324" s="2">
        <v>323</v>
      </c>
      <c r="C324" s="13">
        <v>40866</v>
      </c>
      <c r="D324" s="14">
        <v>41231</v>
      </c>
      <c r="E324" s="2">
        <v>646</v>
      </c>
      <c r="F324" s="2">
        <v>1618</v>
      </c>
      <c r="G324" s="2">
        <v>0</v>
      </c>
      <c r="H324" s="2">
        <f t="shared" si="42"/>
        <v>6</v>
      </c>
      <c r="I324" s="2" t="str">
        <f t="shared" si="40"/>
        <v>46</v>
      </c>
      <c r="J324" s="10">
        <f t="shared" si="43"/>
        <v>0.28194444444444444</v>
      </c>
      <c r="K324" s="2">
        <f t="shared" si="44"/>
        <v>16</v>
      </c>
      <c r="L324">
        <f t="shared" si="45"/>
        <v>18</v>
      </c>
      <c r="M324" s="10">
        <f t="shared" si="46"/>
        <v>0.6791666666666667</v>
      </c>
      <c r="N324" s="12">
        <f t="shared" si="47"/>
        <v>9.533333333333335</v>
      </c>
    </row>
    <row r="325" spans="1:14">
      <c r="A325" s="2">
        <f t="shared" si="41"/>
        <v>334</v>
      </c>
      <c r="B325" s="2">
        <v>324</v>
      </c>
      <c r="C325" s="13">
        <v>40867</v>
      </c>
      <c r="D325" s="14">
        <v>41232</v>
      </c>
      <c r="E325" s="2">
        <v>647</v>
      </c>
      <c r="F325" s="2">
        <v>1617</v>
      </c>
      <c r="G325" s="2">
        <v>0</v>
      </c>
      <c r="H325" s="2">
        <f t="shared" si="42"/>
        <v>6</v>
      </c>
      <c r="I325" s="2" t="str">
        <f t="shared" si="40"/>
        <v>47</v>
      </c>
      <c r="J325" s="10">
        <f t="shared" si="43"/>
        <v>0.28263888888888888</v>
      </c>
      <c r="K325" s="2">
        <f t="shared" si="44"/>
        <v>16</v>
      </c>
      <c r="L325">
        <f t="shared" si="45"/>
        <v>17</v>
      </c>
      <c r="M325" s="10">
        <f t="shared" si="46"/>
        <v>0.67847222222222225</v>
      </c>
      <c r="N325" s="12">
        <f t="shared" si="47"/>
        <v>9.5</v>
      </c>
    </row>
    <row r="326" spans="1:14">
      <c r="A326" s="2">
        <f t="shared" si="41"/>
        <v>335</v>
      </c>
      <c r="B326" s="2">
        <v>325</v>
      </c>
      <c r="C326" s="13">
        <v>40868</v>
      </c>
      <c r="D326" s="14">
        <v>41233</v>
      </c>
      <c r="E326" s="2">
        <v>648</v>
      </c>
      <c r="F326" s="2">
        <v>1617</v>
      </c>
      <c r="G326" s="2">
        <v>0</v>
      </c>
      <c r="H326" s="2">
        <f t="shared" si="42"/>
        <v>6</v>
      </c>
      <c r="I326" s="2" t="str">
        <f t="shared" si="40"/>
        <v>48</v>
      </c>
      <c r="J326" s="10">
        <f t="shared" si="43"/>
        <v>0.28333333333333333</v>
      </c>
      <c r="K326" s="2">
        <f t="shared" si="44"/>
        <v>16</v>
      </c>
      <c r="L326">
        <f t="shared" si="45"/>
        <v>17</v>
      </c>
      <c r="M326" s="10">
        <f t="shared" si="46"/>
        <v>0.67847222222222225</v>
      </c>
      <c r="N326" s="12">
        <f t="shared" si="47"/>
        <v>9.4833333333333343</v>
      </c>
    </row>
    <row r="327" spans="1:14">
      <c r="A327" s="2">
        <f t="shared" si="41"/>
        <v>336</v>
      </c>
      <c r="B327" s="2">
        <v>326</v>
      </c>
      <c r="C327" s="13">
        <v>40869</v>
      </c>
      <c r="D327" s="14">
        <v>41234</v>
      </c>
      <c r="E327" s="2">
        <v>649</v>
      </c>
      <c r="F327" s="2">
        <v>1616</v>
      </c>
      <c r="G327" s="2">
        <v>0</v>
      </c>
      <c r="H327" s="2">
        <f t="shared" si="42"/>
        <v>6</v>
      </c>
      <c r="I327" s="2" t="str">
        <f t="shared" si="40"/>
        <v>49</v>
      </c>
      <c r="J327" s="10">
        <f t="shared" si="43"/>
        <v>0.28402777777777777</v>
      </c>
      <c r="K327" s="2">
        <f t="shared" si="44"/>
        <v>16</v>
      </c>
      <c r="L327">
        <f t="shared" si="45"/>
        <v>16</v>
      </c>
      <c r="M327" s="10">
        <f t="shared" si="46"/>
        <v>0.67777777777777781</v>
      </c>
      <c r="N327" s="12">
        <f t="shared" si="47"/>
        <v>9.4500000000000011</v>
      </c>
    </row>
    <row r="328" spans="1:14">
      <c r="A328" s="2">
        <f t="shared" si="41"/>
        <v>337</v>
      </c>
      <c r="B328" s="2">
        <v>327</v>
      </c>
      <c r="C328" s="13">
        <v>40870</v>
      </c>
      <c r="D328" s="14">
        <v>41235</v>
      </c>
      <c r="E328" s="2">
        <v>651</v>
      </c>
      <c r="F328" s="2">
        <v>1615</v>
      </c>
      <c r="G328" s="2">
        <v>0</v>
      </c>
      <c r="H328" s="2">
        <f t="shared" si="42"/>
        <v>6</v>
      </c>
      <c r="I328" s="2" t="str">
        <f t="shared" si="40"/>
        <v>51</v>
      </c>
      <c r="J328" s="10">
        <f t="shared" si="43"/>
        <v>0.28541666666666665</v>
      </c>
      <c r="K328" s="2">
        <f t="shared" si="44"/>
        <v>16</v>
      </c>
      <c r="L328">
        <f t="shared" si="45"/>
        <v>15</v>
      </c>
      <c r="M328" s="10">
        <f t="shared" si="46"/>
        <v>0.67708333333333337</v>
      </c>
      <c r="N328" s="12">
        <f t="shared" si="47"/>
        <v>9.4000000000000021</v>
      </c>
    </row>
    <row r="329" spans="1:14">
      <c r="A329" s="2">
        <f t="shared" si="41"/>
        <v>338</v>
      </c>
      <c r="B329" s="2">
        <v>328</v>
      </c>
      <c r="C329" s="13">
        <v>40871</v>
      </c>
      <c r="D329" s="14">
        <v>41236</v>
      </c>
      <c r="E329" s="2">
        <v>652</v>
      </c>
      <c r="F329" s="2">
        <v>1614</v>
      </c>
      <c r="G329" s="2">
        <v>0</v>
      </c>
      <c r="H329" s="2">
        <f t="shared" si="42"/>
        <v>6</v>
      </c>
      <c r="I329" s="2" t="str">
        <f t="shared" si="40"/>
        <v>52</v>
      </c>
      <c r="J329" s="10">
        <f t="shared" si="43"/>
        <v>0.28611111111111109</v>
      </c>
      <c r="K329" s="2">
        <f t="shared" si="44"/>
        <v>16</v>
      </c>
      <c r="L329">
        <f t="shared" si="45"/>
        <v>14</v>
      </c>
      <c r="M329" s="10">
        <f t="shared" si="46"/>
        <v>0.67638888888888893</v>
      </c>
      <c r="N329" s="12">
        <f t="shared" si="47"/>
        <v>9.3666666666666671</v>
      </c>
    </row>
    <row r="330" spans="1:14">
      <c r="A330" s="2">
        <f t="shared" si="41"/>
        <v>339</v>
      </c>
      <c r="B330" s="2">
        <v>329</v>
      </c>
      <c r="C330" s="13">
        <v>40872</v>
      </c>
      <c r="D330" s="14">
        <v>41237</v>
      </c>
      <c r="E330" s="2">
        <v>653</v>
      </c>
      <c r="F330" s="2">
        <v>1614</v>
      </c>
      <c r="G330" s="2">
        <v>0</v>
      </c>
      <c r="H330" s="2">
        <f t="shared" si="42"/>
        <v>6</v>
      </c>
      <c r="I330" s="2" t="str">
        <f t="shared" si="40"/>
        <v>53</v>
      </c>
      <c r="J330" s="10">
        <f t="shared" si="43"/>
        <v>0.28680555555555554</v>
      </c>
      <c r="K330" s="2">
        <f t="shared" si="44"/>
        <v>16</v>
      </c>
      <c r="L330">
        <f t="shared" si="45"/>
        <v>14</v>
      </c>
      <c r="M330" s="10">
        <f t="shared" si="46"/>
        <v>0.67638888888888893</v>
      </c>
      <c r="N330" s="12">
        <f t="shared" si="47"/>
        <v>9.3500000000000014</v>
      </c>
    </row>
    <row r="331" spans="1:14">
      <c r="A331" s="2">
        <f t="shared" si="41"/>
        <v>340</v>
      </c>
      <c r="B331" s="2">
        <v>330</v>
      </c>
      <c r="C331" s="13">
        <v>40873</v>
      </c>
      <c r="D331" s="14">
        <v>41238</v>
      </c>
      <c r="E331" s="2">
        <v>654</v>
      </c>
      <c r="F331" s="2">
        <v>1613</v>
      </c>
      <c r="G331" s="2">
        <v>0</v>
      </c>
      <c r="H331" s="2">
        <f t="shared" si="42"/>
        <v>6</v>
      </c>
      <c r="I331" s="2" t="str">
        <f t="shared" si="40"/>
        <v>54</v>
      </c>
      <c r="J331" s="10">
        <f t="shared" si="43"/>
        <v>0.28749999999999998</v>
      </c>
      <c r="K331" s="2">
        <f t="shared" si="44"/>
        <v>16</v>
      </c>
      <c r="L331">
        <f t="shared" si="45"/>
        <v>13</v>
      </c>
      <c r="M331" s="10">
        <f t="shared" si="46"/>
        <v>0.67569444444444449</v>
      </c>
      <c r="N331" s="12">
        <f t="shared" si="47"/>
        <v>9.3166666666666682</v>
      </c>
    </row>
    <row r="332" spans="1:14">
      <c r="A332" s="2">
        <f t="shared" si="41"/>
        <v>341</v>
      </c>
      <c r="B332" s="2">
        <v>331</v>
      </c>
      <c r="C332" s="13">
        <v>40874</v>
      </c>
      <c r="D332" s="14">
        <v>41239</v>
      </c>
      <c r="E332" s="2">
        <v>655</v>
      </c>
      <c r="F332" s="2">
        <v>1613</v>
      </c>
      <c r="G332" s="2">
        <v>0</v>
      </c>
      <c r="H332" s="2">
        <f t="shared" si="42"/>
        <v>6</v>
      </c>
      <c r="I332" s="2" t="str">
        <f t="shared" si="40"/>
        <v>55</v>
      </c>
      <c r="J332" s="10">
        <f t="shared" si="43"/>
        <v>0.28819444444444442</v>
      </c>
      <c r="K332" s="2">
        <f t="shared" si="44"/>
        <v>16</v>
      </c>
      <c r="L332">
        <f t="shared" si="45"/>
        <v>13</v>
      </c>
      <c r="M332" s="10">
        <f t="shared" si="46"/>
        <v>0.67569444444444449</v>
      </c>
      <c r="N332" s="12">
        <f t="shared" si="47"/>
        <v>9.3000000000000007</v>
      </c>
    </row>
    <row r="333" spans="1:14">
      <c r="A333" s="2">
        <f t="shared" si="41"/>
        <v>342</v>
      </c>
      <c r="B333" s="2">
        <v>332</v>
      </c>
      <c r="C333" s="13">
        <v>40875</v>
      </c>
      <c r="D333" s="14">
        <v>41240</v>
      </c>
      <c r="E333" s="2">
        <v>657</v>
      </c>
      <c r="F333" s="2">
        <v>1612</v>
      </c>
      <c r="G333" s="2">
        <v>0</v>
      </c>
      <c r="H333" s="2">
        <f t="shared" si="42"/>
        <v>6</v>
      </c>
      <c r="I333" s="2" t="str">
        <f t="shared" si="40"/>
        <v>57</v>
      </c>
      <c r="J333" s="10">
        <f t="shared" si="43"/>
        <v>0.28958333333333336</v>
      </c>
      <c r="K333" s="2">
        <f t="shared" si="44"/>
        <v>16</v>
      </c>
      <c r="L333">
        <f t="shared" si="45"/>
        <v>12</v>
      </c>
      <c r="M333" s="10">
        <f t="shared" si="46"/>
        <v>0.67500000000000004</v>
      </c>
      <c r="N333" s="12">
        <f t="shared" si="47"/>
        <v>9.25</v>
      </c>
    </row>
    <row r="334" spans="1:14">
      <c r="A334" s="2">
        <f t="shared" si="41"/>
        <v>343</v>
      </c>
      <c r="B334" s="2">
        <v>333</v>
      </c>
      <c r="C334" s="13">
        <v>40876</v>
      </c>
      <c r="D334" s="14">
        <v>41241</v>
      </c>
      <c r="E334" s="2">
        <v>658</v>
      </c>
      <c r="F334" s="2">
        <v>1612</v>
      </c>
      <c r="G334" s="2">
        <v>0</v>
      </c>
      <c r="H334" s="2">
        <f t="shared" si="42"/>
        <v>6</v>
      </c>
      <c r="I334" s="2" t="str">
        <f t="shared" si="40"/>
        <v>58</v>
      </c>
      <c r="J334" s="10">
        <f t="shared" si="43"/>
        <v>0.2902777777777778</v>
      </c>
      <c r="K334" s="2">
        <f t="shared" si="44"/>
        <v>16</v>
      </c>
      <c r="L334">
        <f t="shared" si="45"/>
        <v>12</v>
      </c>
      <c r="M334" s="10">
        <f t="shared" si="46"/>
        <v>0.67500000000000004</v>
      </c>
      <c r="N334" s="12">
        <f t="shared" si="47"/>
        <v>9.2333333333333343</v>
      </c>
    </row>
    <row r="335" spans="1:14">
      <c r="A335" s="2">
        <f t="shared" si="41"/>
        <v>344</v>
      </c>
      <c r="B335" s="2">
        <v>334</v>
      </c>
      <c r="C335" s="13">
        <v>40877</v>
      </c>
      <c r="D335" s="14">
        <v>41242</v>
      </c>
      <c r="E335" s="2">
        <v>659</v>
      </c>
      <c r="F335" s="2">
        <v>1611</v>
      </c>
      <c r="G335" s="2">
        <v>0</v>
      </c>
      <c r="H335" s="2">
        <f t="shared" si="42"/>
        <v>6</v>
      </c>
      <c r="I335" s="2" t="str">
        <f t="shared" si="40"/>
        <v>59</v>
      </c>
      <c r="J335" s="10">
        <f t="shared" si="43"/>
        <v>0.29097222222222224</v>
      </c>
      <c r="K335" s="2">
        <f t="shared" si="44"/>
        <v>16</v>
      </c>
      <c r="L335">
        <f t="shared" si="45"/>
        <v>11</v>
      </c>
      <c r="M335" s="10">
        <f t="shared" si="46"/>
        <v>0.6743055555555556</v>
      </c>
      <c r="N335" s="12">
        <f t="shared" si="47"/>
        <v>9.2000000000000011</v>
      </c>
    </row>
    <row r="336" spans="1:14">
      <c r="A336" s="2">
        <f t="shared" si="41"/>
        <v>345</v>
      </c>
      <c r="B336" s="2">
        <v>335</v>
      </c>
      <c r="C336" s="13">
        <v>40878</v>
      </c>
      <c r="D336" s="14">
        <v>41243</v>
      </c>
      <c r="E336" s="2">
        <v>700</v>
      </c>
      <c r="F336" s="2">
        <v>1611</v>
      </c>
      <c r="G336" s="2">
        <v>0</v>
      </c>
      <c r="H336" s="2">
        <f t="shared" si="42"/>
        <v>7</v>
      </c>
      <c r="I336" s="2" t="str">
        <f t="shared" si="40"/>
        <v>00</v>
      </c>
      <c r="J336" s="10">
        <f t="shared" si="43"/>
        <v>0.29166666666666669</v>
      </c>
      <c r="K336" s="2">
        <f t="shared" si="44"/>
        <v>16</v>
      </c>
      <c r="L336">
        <f t="shared" si="45"/>
        <v>11</v>
      </c>
      <c r="M336" s="10">
        <f t="shared" si="46"/>
        <v>0.6743055555555556</v>
      </c>
      <c r="N336" s="12">
        <f t="shared" si="47"/>
        <v>9.1833333333333336</v>
      </c>
    </row>
    <row r="337" spans="1:14">
      <c r="A337" s="2">
        <f t="shared" si="41"/>
        <v>346</v>
      </c>
      <c r="B337" s="2">
        <v>336</v>
      </c>
      <c r="C337" s="13">
        <v>40879</v>
      </c>
      <c r="D337" s="14">
        <v>41244</v>
      </c>
      <c r="E337" s="2">
        <v>701</v>
      </c>
      <c r="F337" s="2">
        <v>1611</v>
      </c>
      <c r="G337" s="2">
        <v>0</v>
      </c>
      <c r="H337" s="2">
        <f t="shared" si="42"/>
        <v>7</v>
      </c>
      <c r="I337" s="2" t="str">
        <f t="shared" si="40"/>
        <v>01</v>
      </c>
      <c r="J337" s="10">
        <f t="shared" si="43"/>
        <v>0.29236111111111113</v>
      </c>
      <c r="K337" s="2">
        <f t="shared" si="44"/>
        <v>16</v>
      </c>
      <c r="L337">
        <f t="shared" si="45"/>
        <v>11</v>
      </c>
      <c r="M337" s="10">
        <f t="shared" si="46"/>
        <v>0.6743055555555556</v>
      </c>
      <c r="N337" s="12">
        <f t="shared" si="47"/>
        <v>9.1666666666666679</v>
      </c>
    </row>
    <row r="338" spans="1:14">
      <c r="A338" s="2">
        <f t="shared" si="41"/>
        <v>347</v>
      </c>
      <c r="B338" s="2">
        <v>337</v>
      </c>
      <c r="C338" s="13">
        <v>40880</v>
      </c>
      <c r="D338" s="14">
        <v>41245</v>
      </c>
      <c r="E338" s="2">
        <v>702</v>
      </c>
      <c r="F338" s="2">
        <v>1610</v>
      </c>
      <c r="G338" s="2">
        <v>0</v>
      </c>
      <c r="H338" s="2">
        <f t="shared" si="42"/>
        <v>7</v>
      </c>
      <c r="I338" s="2" t="str">
        <f t="shared" si="40"/>
        <v>02</v>
      </c>
      <c r="J338" s="10">
        <f t="shared" si="43"/>
        <v>0.29305555555555557</v>
      </c>
      <c r="K338" s="2">
        <f t="shared" si="44"/>
        <v>16</v>
      </c>
      <c r="L338">
        <f t="shared" si="45"/>
        <v>10</v>
      </c>
      <c r="M338" s="10">
        <f t="shared" si="46"/>
        <v>0.67361111111111116</v>
      </c>
      <c r="N338" s="12">
        <f t="shared" si="47"/>
        <v>9.1333333333333346</v>
      </c>
    </row>
    <row r="339" spans="1:14">
      <c r="A339" s="2">
        <f t="shared" si="41"/>
        <v>348</v>
      </c>
      <c r="B339" s="2">
        <v>338</v>
      </c>
      <c r="C339" s="13">
        <v>40881</v>
      </c>
      <c r="D339" s="14">
        <v>41246</v>
      </c>
      <c r="E339" s="2">
        <v>703</v>
      </c>
      <c r="F339" s="2">
        <v>1610</v>
      </c>
      <c r="G339" s="2">
        <v>0</v>
      </c>
      <c r="H339" s="2">
        <f t="shared" si="42"/>
        <v>7</v>
      </c>
      <c r="I339" s="2" t="str">
        <f t="shared" si="40"/>
        <v>03</v>
      </c>
      <c r="J339" s="10">
        <f t="shared" si="43"/>
        <v>0.29375000000000001</v>
      </c>
      <c r="K339" s="2">
        <f t="shared" si="44"/>
        <v>16</v>
      </c>
      <c r="L339">
        <f t="shared" si="45"/>
        <v>10</v>
      </c>
      <c r="M339" s="10">
        <f t="shared" si="46"/>
        <v>0.67361111111111116</v>
      </c>
      <c r="N339" s="12">
        <f t="shared" si="47"/>
        <v>9.1166666666666671</v>
      </c>
    </row>
    <row r="340" spans="1:14">
      <c r="A340" s="2">
        <f t="shared" si="41"/>
        <v>349</v>
      </c>
      <c r="B340" s="2">
        <v>339</v>
      </c>
      <c r="C340" s="13">
        <v>40882</v>
      </c>
      <c r="D340" s="14">
        <v>41247</v>
      </c>
      <c r="E340" s="2">
        <v>704</v>
      </c>
      <c r="F340" s="2">
        <v>1610</v>
      </c>
      <c r="G340" s="2">
        <v>0</v>
      </c>
      <c r="H340" s="2">
        <f t="shared" si="42"/>
        <v>7</v>
      </c>
      <c r="I340" s="2" t="str">
        <f t="shared" si="40"/>
        <v>04</v>
      </c>
      <c r="J340" s="10">
        <f t="shared" si="43"/>
        <v>0.29444444444444445</v>
      </c>
      <c r="K340" s="2">
        <f t="shared" si="44"/>
        <v>16</v>
      </c>
      <c r="L340">
        <f t="shared" si="45"/>
        <v>10</v>
      </c>
      <c r="M340" s="10">
        <f t="shared" si="46"/>
        <v>0.67361111111111116</v>
      </c>
      <c r="N340" s="12">
        <f t="shared" si="47"/>
        <v>9.1000000000000014</v>
      </c>
    </row>
    <row r="341" spans="1:14">
      <c r="A341" s="2">
        <f t="shared" si="41"/>
        <v>350</v>
      </c>
      <c r="B341" s="2">
        <v>340</v>
      </c>
      <c r="C341" s="13">
        <v>40883</v>
      </c>
      <c r="D341" s="14">
        <v>41248</v>
      </c>
      <c r="E341" s="2">
        <v>705</v>
      </c>
      <c r="F341" s="2">
        <v>1610</v>
      </c>
      <c r="G341" s="2">
        <v>0</v>
      </c>
      <c r="H341" s="2">
        <f t="shared" si="42"/>
        <v>7</v>
      </c>
      <c r="I341" s="2" t="str">
        <f t="shared" si="40"/>
        <v>05</v>
      </c>
      <c r="J341" s="10">
        <f t="shared" si="43"/>
        <v>0.2951388888888889</v>
      </c>
      <c r="K341" s="2">
        <f t="shared" si="44"/>
        <v>16</v>
      </c>
      <c r="L341">
        <f t="shared" si="45"/>
        <v>10</v>
      </c>
      <c r="M341" s="10">
        <f t="shared" si="46"/>
        <v>0.67361111111111116</v>
      </c>
      <c r="N341" s="12">
        <f t="shared" si="47"/>
        <v>9.0833333333333339</v>
      </c>
    </row>
    <row r="342" spans="1:14">
      <c r="A342" s="2">
        <f t="shared" si="41"/>
        <v>351</v>
      </c>
      <c r="B342" s="2">
        <v>341</v>
      </c>
      <c r="C342" s="13">
        <v>40884</v>
      </c>
      <c r="D342" s="14">
        <v>41249</v>
      </c>
      <c r="E342" s="2">
        <v>706</v>
      </c>
      <c r="F342" s="2">
        <v>1610</v>
      </c>
      <c r="G342" s="2">
        <v>0</v>
      </c>
      <c r="H342" s="2">
        <f t="shared" si="42"/>
        <v>7</v>
      </c>
      <c r="I342" s="2" t="str">
        <f t="shared" si="40"/>
        <v>06</v>
      </c>
      <c r="J342" s="10">
        <f t="shared" si="43"/>
        <v>0.29583333333333334</v>
      </c>
      <c r="K342" s="2">
        <f t="shared" si="44"/>
        <v>16</v>
      </c>
      <c r="L342">
        <f t="shared" si="45"/>
        <v>10</v>
      </c>
      <c r="M342" s="10">
        <f t="shared" si="46"/>
        <v>0.67361111111111116</v>
      </c>
      <c r="N342" s="12">
        <f t="shared" si="47"/>
        <v>9.0666666666666682</v>
      </c>
    </row>
    <row r="343" spans="1:14">
      <c r="A343" s="2">
        <f t="shared" si="41"/>
        <v>352</v>
      </c>
      <c r="B343" s="2">
        <v>342</v>
      </c>
      <c r="C343" s="13">
        <v>40885</v>
      </c>
      <c r="D343" s="14">
        <v>41250</v>
      </c>
      <c r="E343" s="2">
        <v>707</v>
      </c>
      <c r="F343" s="2">
        <v>1609</v>
      </c>
      <c r="G343" s="2">
        <v>0</v>
      </c>
      <c r="H343" s="2">
        <f t="shared" si="42"/>
        <v>7</v>
      </c>
      <c r="I343" s="2" t="str">
        <f t="shared" si="40"/>
        <v>07</v>
      </c>
      <c r="J343" s="10">
        <f t="shared" si="43"/>
        <v>0.29652777777777778</v>
      </c>
      <c r="K343" s="2">
        <f t="shared" si="44"/>
        <v>16</v>
      </c>
      <c r="L343">
        <f t="shared" si="45"/>
        <v>9</v>
      </c>
      <c r="M343" s="10">
        <f t="shared" si="46"/>
        <v>0.67291666666666672</v>
      </c>
      <c r="N343" s="12">
        <f t="shared" si="47"/>
        <v>9.033333333333335</v>
      </c>
    </row>
    <row r="344" spans="1:14">
      <c r="A344" s="2">
        <f t="shared" si="41"/>
        <v>353</v>
      </c>
      <c r="B344" s="2">
        <v>343</v>
      </c>
      <c r="C344" s="13">
        <v>40886</v>
      </c>
      <c r="D344" s="14">
        <v>41251</v>
      </c>
      <c r="E344" s="2">
        <v>708</v>
      </c>
      <c r="F344" s="2">
        <v>1609</v>
      </c>
      <c r="G344" s="2">
        <v>0</v>
      </c>
      <c r="H344" s="2">
        <f t="shared" si="42"/>
        <v>7</v>
      </c>
      <c r="I344" s="2" t="str">
        <f t="shared" si="40"/>
        <v>08</v>
      </c>
      <c r="J344" s="10">
        <f t="shared" si="43"/>
        <v>0.29722222222222222</v>
      </c>
      <c r="K344" s="2">
        <f t="shared" si="44"/>
        <v>16</v>
      </c>
      <c r="L344">
        <f t="shared" si="45"/>
        <v>9</v>
      </c>
      <c r="M344" s="10">
        <f t="shared" si="46"/>
        <v>0.67291666666666672</v>
      </c>
      <c r="N344" s="12">
        <f t="shared" si="47"/>
        <v>9.0166666666666675</v>
      </c>
    </row>
    <row r="345" spans="1:14">
      <c r="A345" s="2">
        <f t="shared" si="41"/>
        <v>354</v>
      </c>
      <c r="B345" s="2">
        <v>344</v>
      </c>
      <c r="C345" s="13">
        <v>40887</v>
      </c>
      <c r="D345" s="14">
        <v>41252</v>
      </c>
      <c r="E345" s="2">
        <v>709</v>
      </c>
      <c r="F345" s="2">
        <v>1609</v>
      </c>
      <c r="G345" s="2">
        <v>0</v>
      </c>
      <c r="H345" s="2">
        <f t="shared" si="42"/>
        <v>7</v>
      </c>
      <c r="I345" s="2" t="str">
        <f t="shared" si="40"/>
        <v>09</v>
      </c>
      <c r="J345" s="10">
        <f t="shared" si="43"/>
        <v>0.29791666666666666</v>
      </c>
      <c r="K345" s="2">
        <f t="shared" si="44"/>
        <v>16</v>
      </c>
      <c r="L345">
        <f t="shared" si="45"/>
        <v>9</v>
      </c>
      <c r="M345" s="10">
        <f t="shared" si="46"/>
        <v>0.67291666666666672</v>
      </c>
      <c r="N345" s="12">
        <f t="shared" si="47"/>
        <v>9.0000000000000018</v>
      </c>
    </row>
    <row r="346" spans="1:14">
      <c r="A346" s="2">
        <f t="shared" si="41"/>
        <v>355</v>
      </c>
      <c r="B346" s="2">
        <v>345</v>
      </c>
      <c r="C346" s="13">
        <v>40888</v>
      </c>
      <c r="D346" s="14">
        <v>41253</v>
      </c>
      <c r="E346" s="2">
        <v>710</v>
      </c>
      <c r="F346" s="2">
        <v>1609</v>
      </c>
      <c r="G346" s="2">
        <v>0</v>
      </c>
      <c r="H346" s="2">
        <f t="shared" si="42"/>
        <v>7</v>
      </c>
      <c r="I346" s="2" t="str">
        <f t="shared" si="40"/>
        <v>10</v>
      </c>
      <c r="J346" s="10">
        <f t="shared" si="43"/>
        <v>0.2986111111111111</v>
      </c>
      <c r="K346" s="2">
        <f t="shared" si="44"/>
        <v>16</v>
      </c>
      <c r="L346">
        <f t="shared" si="45"/>
        <v>9</v>
      </c>
      <c r="M346" s="10">
        <f t="shared" si="46"/>
        <v>0.67291666666666672</v>
      </c>
      <c r="N346" s="12">
        <f t="shared" si="47"/>
        <v>8.9833333333333343</v>
      </c>
    </row>
    <row r="347" spans="1:14">
      <c r="A347" s="2">
        <f t="shared" si="41"/>
        <v>356</v>
      </c>
      <c r="B347" s="2">
        <v>346</v>
      </c>
      <c r="C347" s="13">
        <v>40889</v>
      </c>
      <c r="D347" s="14">
        <v>41254</v>
      </c>
      <c r="E347" s="2">
        <v>711</v>
      </c>
      <c r="F347" s="2">
        <v>1610</v>
      </c>
      <c r="G347" s="2">
        <v>0</v>
      </c>
      <c r="H347" s="2">
        <f t="shared" si="42"/>
        <v>7</v>
      </c>
      <c r="I347" s="2" t="str">
        <f t="shared" si="40"/>
        <v>11</v>
      </c>
      <c r="J347" s="10">
        <f t="shared" si="43"/>
        <v>0.29930555555555555</v>
      </c>
      <c r="K347" s="2">
        <f t="shared" si="44"/>
        <v>16</v>
      </c>
      <c r="L347">
        <f t="shared" si="45"/>
        <v>10</v>
      </c>
      <c r="M347" s="10">
        <f t="shared" si="46"/>
        <v>0.67361111111111116</v>
      </c>
      <c r="N347" s="12">
        <f t="shared" si="47"/>
        <v>8.9833333333333343</v>
      </c>
    </row>
    <row r="348" spans="1:14">
      <c r="A348" s="2">
        <f t="shared" si="41"/>
        <v>357</v>
      </c>
      <c r="B348" s="2">
        <v>347</v>
      </c>
      <c r="C348" s="13">
        <v>40890</v>
      </c>
      <c r="D348" s="14">
        <v>41255</v>
      </c>
      <c r="E348" s="2">
        <v>712</v>
      </c>
      <c r="F348" s="2">
        <v>1610</v>
      </c>
      <c r="G348" s="2">
        <v>0</v>
      </c>
      <c r="H348" s="2">
        <f t="shared" si="42"/>
        <v>7</v>
      </c>
      <c r="I348" s="2" t="str">
        <f t="shared" si="40"/>
        <v>12</v>
      </c>
      <c r="J348" s="10">
        <f t="shared" si="43"/>
        <v>0.3</v>
      </c>
      <c r="K348" s="2">
        <f t="shared" si="44"/>
        <v>16</v>
      </c>
      <c r="L348">
        <f t="shared" si="45"/>
        <v>10</v>
      </c>
      <c r="M348" s="10">
        <f t="shared" si="46"/>
        <v>0.67361111111111116</v>
      </c>
      <c r="N348" s="12">
        <f t="shared" si="47"/>
        <v>8.9666666666666686</v>
      </c>
    </row>
    <row r="349" spans="1:14">
      <c r="A349" s="2">
        <f t="shared" si="41"/>
        <v>358</v>
      </c>
      <c r="B349" s="2">
        <v>348</v>
      </c>
      <c r="C349" s="13">
        <v>40891</v>
      </c>
      <c r="D349" s="14">
        <v>41256</v>
      </c>
      <c r="E349" s="2">
        <v>713</v>
      </c>
      <c r="F349" s="2">
        <v>1610</v>
      </c>
      <c r="G349" s="2">
        <v>0</v>
      </c>
      <c r="H349" s="2">
        <f t="shared" si="42"/>
        <v>7</v>
      </c>
      <c r="I349" s="2" t="str">
        <f t="shared" si="40"/>
        <v>13</v>
      </c>
      <c r="J349" s="10">
        <f t="shared" si="43"/>
        <v>0.30069444444444443</v>
      </c>
      <c r="K349" s="2">
        <f t="shared" si="44"/>
        <v>16</v>
      </c>
      <c r="L349">
        <f t="shared" si="45"/>
        <v>10</v>
      </c>
      <c r="M349" s="10">
        <f t="shared" si="46"/>
        <v>0.67361111111111116</v>
      </c>
      <c r="N349" s="12">
        <f t="shared" si="47"/>
        <v>8.9500000000000011</v>
      </c>
    </row>
    <row r="350" spans="1:14">
      <c r="A350" s="2">
        <f t="shared" si="41"/>
        <v>359</v>
      </c>
      <c r="B350" s="2">
        <v>349</v>
      </c>
      <c r="C350" s="13">
        <v>40892</v>
      </c>
      <c r="D350" s="14">
        <v>41257</v>
      </c>
      <c r="E350" s="2">
        <v>713</v>
      </c>
      <c r="F350" s="2">
        <v>1610</v>
      </c>
      <c r="G350" s="2">
        <v>0</v>
      </c>
      <c r="H350" s="2">
        <f t="shared" si="42"/>
        <v>7</v>
      </c>
      <c r="I350" s="2" t="str">
        <f t="shared" si="40"/>
        <v>13</v>
      </c>
      <c r="J350" s="10">
        <f t="shared" si="43"/>
        <v>0.30069444444444443</v>
      </c>
      <c r="K350" s="2">
        <f t="shared" si="44"/>
        <v>16</v>
      </c>
      <c r="L350">
        <f t="shared" si="45"/>
        <v>10</v>
      </c>
      <c r="M350" s="10">
        <f t="shared" si="46"/>
        <v>0.67361111111111116</v>
      </c>
      <c r="N350" s="12">
        <f t="shared" si="47"/>
        <v>8.9500000000000011</v>
      </c>
    </row>
    <row r="351" spans="1:14">
      <c r="A351" s="2">
        <f t="shared" si="41"/>
        <v>360</v>
      </c>
      <c r="B351" s="2">
        <v>350</v>
      </c>
      <c r="C351" s="13">
        <v>40893</v>
      </c>
      <c r="D351" s="14">
        <v>41258</v>
      </c>
      <c r="E351" s="2">
        <v>714</v>
      </c>
      <c r="F351" s="2">
        <v>1610</v>
      </c>
      <c r="G351" s="2">
        <v>0</v>
      </c>
      <c r="H351" s="2">
        <f t="shared" si="42"/>
        <v>7</v>
      </c>
      <c r="I351" s="2" t="str">
        <f t="shared" si="40"/>
        <v>14</v>
      </c>
      <c r="J351" s="10">
        <f t="shared" si="43"/>
        <v>0.30138888888888887</v>
      </c>
      <c r="K351" s="2">
        <f t="shared" si="44"/>
        <v>16</v>
      </c>
      <c r="L351">
        <f t="shared" si="45"/>
        <v>10</v>
      </c>
      <c r="M351" s="10">
        <f t="shared" si="46"/>
        <v>0.67361111111111116</v>
      </c>
      <c r="N351" s="12">
        <f t="shared" si="47"/>
        <v>8.9333333333333353</v>
      </c>
    </row>
    <row r="352" spans="1:14">
      <c r="A352" s="2">
        <f t="shared" si="41"/>
        <v>361</v>
      </c>
      <c r="B352" s="2">
        <v>351</v>
      </c>
      <c r="C352" s="13">
        <v>40894</v>
      </c>
      <c r="D352" s="14">
        <v>41259</v>
      </c>
      <c r="E352" s="2">
        <v>715</v>
      </c>
      <c r="F352" s="2">
        <v>1611</v>
      </c>
      <c r="G352" s="2">
        <v>0</v>
      </c>
      <c r="H352" s="2">
        <f t="shared" si="42"/>
        <v>7</v>
      </c>
      <c r="I352" s="2" t="str">
        <f t="shared" si="40"/>
        <v>15</v>
      </c>
      <c r="J352" s="10">
        <f t="shared" si="43"/>
        <v>0.30208333333333331</v>
      </c>
      <c r="K352" s="2">
        <f t="shared" si="44"/>
        <v>16</v>
      </c>
      <c r="L352">
        <f t="shared" si="45"/>
        <v>11</v>
      </c>
      <c r="M352" s="10">
        <f t="shared" si="46"/>
        <v>0.6743055555555556</v>
      </c>
      <c r="N352" s="12">
        <f t="shared" si="47"/>
        <v>8.9333333333333353</v>
      </c>
    </row>
    <row r="353" spans="1:14">
      <c r="A353" s="2">
        <f t="shared" si="41"/>
        <v>362</v>
      </c>
      <c r="B353" s="2">
        <v>352</v>
      </c>
      <c r="C353" s="13">
        <v>40895</v>
      </c>
      <c r="D353" s="14">
        <v>41260</v>
      </c>
      <c r="E353" s="2">
        <v>715</v>
      </c>
      <c r="F353" s="2">
        <v>1611</v>
      </c>
      <c r="G353" s="2">
        <v>0</v>
      </c>
      <c r="H353" s="2">
        <f t="shared" si="42"/>
        <v>7</v>
      </c>
      <c r="I353" s="2" t="str">
        <f t="shared" si="40"/>
        <v>15</v>
      </c>
      <c r="J353" s="10">
        <f t="shared" si="43"/>
        <v>0.30208333333333331</v>
      </c>
      <c r="K353" s="2">
        <f t="shared" si="44"/>
        <v>16</v>
      </c>
      <c r="L353">
        <f t="shared" si="45"/>
        <v>11</v>
      </c>
      <c r="M353" s="10">
        <f t="shared" si="46"/>
        <v>0.6743055555555556</v>
      </c>
      <c r="N353" s="12">
        <f t="shared" si="47"/>
        <v>8.9333333333333353</v>
      </c>
    </row>
    <row r="354" spans="1:14">
      <c r="A354" s="2">
        <f t="shared" si="41"/>
        <v>363</v>
      </c>
      <c r="B354" s="2">
        <v>353</v>
      </c>
      <c r="C354" s="13">
        <v>40896</v>
      </c>
      <c r="D354" s="14">
        <v>41261</v>
      </c>
      <c r="E354" s="2">
        <v>716</v>
      </c>
      <c r="F354" s="2">
        <v>1611</v>
      </c>
      <c r="G354" s="2">
        <v>0</v>
      </c>
      <c r="H354" s="2">
        <f t="shared" si="42"/>
        <v>7</v>
      </c>
      <c r="I354" s="2" t="str">
        <f t="shared" si="40"/>
        <v>16</v>
      </c>
      <c r="J354" s="10">
        <f t="shared" si="43"/>
        <v>0.30277777777777776</v>
      </c>
      <c r="K354" s="2">
        <f t="shared" si="44"/>
        <v>16</v>
      </c>
      <c r="L354">
        <f t="shared" si="45"/>
        <v>11</v>
      </c>
      <c r="M354" s="10">
        <f t="shared" si="46"/>
        <v>0.6743055555555556</v>
      </c>
      <c r="N354" s="12">
        <f t="shared" si="47"/>
        <v>8.9166666666666679</v>
      </c>
    </row>
    <row r="355" spans="1:14">
      <c r="A355" s="2">
        <f t="shared" si="41"/>
        <v>364</v>
      </c>
      <c r="B355" s="2">
        <v>354</v>
      </c>
      <c r="C355" s="13">
        <v>40897</v>
      </c>
      <c r="D355" s="14">
        <v>41262</v>
      </c>
      <c r="E355" s="2">
        <v>717</v>
      </c>
      <c r="F355" s="2">
        <v>1612</v>
      </c>
      <c r="G355" s="2">
        <v>0</v>
      </c>
      <c r="H355" s="2">
        <f t="shared" si="42"/>
        <v>7</v>
      </c>
      <c r="I355" s="2" t="str">
        <f t="shared" si="40"/>
        <v>17</v>
      </c>
      <c r="J355" s="10">
        <f t="shared" si="43"/>
        <v>0.3034722222222222</v>
      </c>
      <c r="K355" s="2">
        <f t="shared" si="44"/>
        <v>16</v>
      </c>
      <c r="L355">
        <f t="shared" si="45"/>
        <v>12</v>
      </c>
      <c r="M355" s="10">
        <f t="shared" si="46"/>
        <v>0.67500000000000004</v>
      </c>
      <c r="N355" s="12">
        <f t="shared" si="47"/>
        <v>8.9166666666666679</v>
      </c>
    </row>
    <row r="356" spans="1:14">
      <c r="A356" s="2">
        <f t="shared" si="41"/>
        <v>365</v>
      </c>
      <c r="B356" s="2">
        <v>355</v>
      </c>
      <c r="C356" s="13">
        <v>40898</v>
      </c>
      <c r="D356" s="14">
        <v>41263</v>
      </c>
      <c r="E356" s="2">
        <v>717</v>
      </c>
      <c r="F356" s="2">
        <v>1612</v>
      </c>
      <c r="G356" s="2">
        <v>0</v>
      </c>
      <c r="H356" s="2">
        <f t="shared" si="42"/>
        <v>7</v>
      </c>
      <c r="I356" s="2" t="str">
        <f t="shared" si="40"/>
        <v>17</v>
      </c>
      <c r="J356" s="10">
        <f t="shared" si="43"/>
        <v>0.3034722222222222</v>
      </c>
      <c r="K356" s="2">
        <f t="shared" si="44"/>
        <v>16</v>
      </c>
      <c r="L356">
        <f t="shared" si="45"/>
        <v>12</v>
      </c>
      <c r="M356" s="10">
        <f t="shared" si="46"/>
        <v>0.67500000000000004</v>
      </c>
      <c r="N356" s="12">
        <f t="shared" si="47"/>
        <v>8.9166666666666679</v>
      </c>
    </row>
    <row r="357" spans="1:14">
      <c r="A357" s="2">
        <f t="shared" si="41"/>
        <v>366</v>
      </c>
      <c r="B357" s="2">
        <v>356</v>
      </c>
      <c r="C357" s="13">
        <v>40899</v>
      </c>
      <c r="D357" s="14">
        <v>41264</v>
      </c>
      <c r="E357" s="2">
        <v>718</v>
      </c>
      <c r="F357" s="2">
        <v>1613</v>
      </c>
      <c r="G357" s="2">
        <v>0</v>
      </c>
      <c r="H357" s="2">
        <f t="shared" si="42"/>
        <v>7</v>
      </c>
      <c r="I357" s="2" t="str">
        <f t="shared" si="40"/>
        <v>18</v>
      </c>
      <c r="J357" s="10">
        <f t="shared" si="43"/>
        <v>0.30416666666666664</v>
      </c>
      <c r="K357" s="2">
        <f t="shared" si="44"/>
        <v>16</v>
      </c>
      <c r="L357">
        <f t="shared" si="45"/>
        <v>13</v>
      </c>
      <c r="M357" s="10">
        <f t="shared" si="46"/>
        <v>0.67569444444444449</v>
      </c>
      <c r="N357" s="12">
        <f t="shared" si="47"/>
        <v>8.9166666666666679</v>
      </c>
    </row>
    <row r="358" spans="1:14">
      <c r="A358" s="2">
        <f t="shared" si="41"/>
        <v>367</v>
      </c>
      <c r="B358" s="2">
        <v>357</v>
      </c>
      <c r="C358" s="13">
        <v>40900</v>
      </c>
      <c r="D358" s="14">
        <v>41265</v>
      </c>
      <c r="E358" s="2">
        <v>718</v>
      </c>
      <c r="F358" s="2">
        <v>1613</v>
      </c>
      <c r="G358" s="2">
        <v>0</v>
      </c>
      <c r="H358" s="2">
        <f t="shared" si="42"/>
        <v>7</v>
      </c>
      <c r="I358" s="2" t="str">
        <f t="shared" si="40"/>
        <v>18</v>
      </c>
      <c r="J358" s="10">
        <f t="shared" si="43"/>
        <v>0.30416666666666664</v>
      </c>
      <c r="K358" s="2">
        <f t="shared" si="44"/>
        <v>16</v>
      </c>
      <c r="L358">
        <f t="shared" si="45"/>
        <v>13</v>
      </c>
      <c r="M358" s="10">
        <f t="shared" si="46"/>
        <v>0.67569444444444449</v>
      </c>
      <c r="N358" s="12">
        <f t="shared" si="47"/>
        <v>8.9166666666666679</v>
      </c>
    </row>
    <row r="359" spans="1:14">
      <c r="A359" s="2">
        <f t="shared" si="41"/>
        <v>368</v>
      </c>
      <c r="B359" s="2">
        <v>358</v>
      </c>
      <c r="C359" s="13">
        <v>40901</v>
      </c>
      <c r="D359" s="14">
        <v>41266</v>
      </c>
      <c r="E359" s="2">
        <v>719</v>
      </c>
      <c r="F359" s="2">
        <v>1614</v>
      </c>
      <c r="G359" s="2">
        <v>0</v>
      </c>
      <c r="H359" s="2">
        <f t="shared" si="42"/>
        <v>7</v>
      </c>
      <c r="I359" s="2" t="str">
        <f t="shared" si="40"/>
        <v>19</v>
      </c>
      <c r="J359" s="10">
        <f t="shared" si="43"/>
        <v>0.30486111111111114</v>
      </c>
      <c r="K359" s="2">
        <f t="shared" si="44"/>
        <v>16</v>
      </c>
      <c r="L359">
        <f t="shared" si="45"/>
        <v>14</v>
      </c>
      <c r="M359" s="10">
        <f t="shared" si="46"/>
        <v>0.67638888888888893</v>
      </c>
      <c r="N359" s="12">
        <f t="shared" si="47"/>
        <v>8.9166666666666679</v>
      </c>
    </row>
    <row r="360" spans="1:14">
      <c r="A360" s="2">
        <f t="shared" si="41"/>
        <v>369</v>
      </c>
      <c r="B360" s="2">
        <v>359</v>
      </c>
      <c r="C360" s="13">
        <v>40902</v>
      </c>
      <c r="D360" s="14">
        <v>41267</v>
      </c>
      <c r="E360" s="2">
        <v>719</v>
      </c>
      <c r="F360" s="2">
        <v>1614</v>
      </c>
      <c r="G360" s="2">
        <v>0</v>
      </c>
      <c r="H360" s="2">
        <f t="shared" si="42"/>
        <v>7</v>
      </c>
      <c r="I360" s="2" t="str">
        <f t="shared" si="40"/>
        <v>19</v>
      </c>
      <c r="J360" s="10">
        <f t="shared" si="43"/>
        <v>0.30486111111111114</v>
      </c>
      <c r="K360" s="2">
        <f t="shared" si="44"/>
        <v>16</v>
      </c>
      <c r="L360">
        <f t="shared" si="45"/>
        <v>14</v>
      </c>
      <c r="M360" s="10">
        <f t="shared" si="46"/>
        <v>0.67638888888888893</v>
      </c>
      <c r="N360" s="12">
        <f t="shared" si="47"/>
        <v>8.9166666666666679</v>
      </c>
    </row>
    <row r="361" spans="1:14">
      <c r="A361" s="2">
        <f t="shared" si="41"/>
        <v>370</v>
      </c>
      <c r="B361" s="2">
        <v>360</v>
      </c>
      <c r="C361" s="13">
        <v>40903</v>
      </c>
      <c r="D361" s="14">
        <v>41268</v>
      </c>
      <c r="E361" s="2">
        <v>719</v>
      </c>
      <c r="F361" s="2">
        <v>1615</v>
      </c>
      <c r="G361" s="2">
        <v>0</v>
      </c>
      <c r="H361" s="2">
        <f t="shared" si="42"/>
        <v>7</v>
      </c>
      <c r="I361" s="2" t="str">
        <f t="shared" si="40"/>
        <v>19</v>
      </c>
      <c r="J361" s="10">
        <f t="shared" si="43"/>
        <v>0.30486111111111114</v>
      </c>
      <c r="K361" s="2">
        <f t="shared" si="44"/>
        <v>16</v>
      </c>
      <c r="L361">
        <f t="shared" si="45"/>
        <v>15</v>
      </c>
      <c r="M361" s="10">
        <f t="shared" si="46"/>
        <v>0.67708333333333337</v>
      </c>
      <c r="N361" s="12">
        <f t="shared" si="47"/>
        <v>8.9333333333333336</v>
      </c>
    </row>
    <row r="362" spans="1:14">
      <c r="A362" s="2">
        <f t="shared" si="41"/>
        <v>371</v>
      </c>
      <c r="B362" s="2">
        <v>361</v>
      </c>
      <c r="C362" s="13">
        <v>40904</v>
      </c>
      <c r="D362" s="14">
        <v>41269</v>
      </c>
      <c r="E362" s="2">
        <v>720</v>
      </c>
      <c r="F362" s="2">
        <v>1616</v>
      </c>
      <c r="G362" s="2">
        <v>0</v>
      </c>
      <c r="H362" s="2">
        <f t="shared" si="42"/>
        <v>7</v>
      </c>
      <c r="I362" s="2" t="str">
        <f t="shared" si="40"/>
        <v>20</v>
      </c>
      <c r="J362" s="10">
        <f t="shared" si="43"/>
        <v>0.30555555555555558</v>
      </c>
      <c r="K362" s="2">
        <f t="shared" si="44"/>
        <v>16</v>
      </c>
      <c r="L362">
        <f t="shared" si="45"/>
        <v>16</v>
      </c>
      <c r="M362" s="10">
        <f t="shared" si="46"/>
        <v>0.67777777777777781</v>
      </c>
      <c r="N362" s="12">
        <f t="shared" si="47"/>
        <v>8.9333333333333336</v>
      </c>
    </row>
    <row r="363" spans="1:14">
      <c r="A363" s="2">
        <f t="shared" si="41"/>
        <v>372</v>
      </c>
      <c r="B363" s="2">
        <v>362</v>
      </c>
      <c r="C363" s="13">
        <v>40905</v>
      </c>
      <c r="D363" s="14">
        <v>41270</v>
      </c>
      <c r="E363" s="2">
        <v>720</v>
      </c>
      <c r="F363" s="2">
        <v>1616</v>
      </c>
      <c r="G363" s="2">
        <v>0</v>
      </c>
      <c r="H363" s="2">
        <f t="shared" si="42"/>
        <v>7</v>
      </c>
      <c r="I363" s="2" t="str">
        <f t="shared" si="40"/>
        <v>20</v>
      </c>
      <c r="J363" s="10">
        <f t="shared" si="43"/>
        <v>0.30555555555555558</v>
      </c>
      <c r="K363" s="2">
        <f t="shared" si="44"/>
        <v>16</v>
      </c>
      <c r="L363">
        <f t="shared" si="45"/>
        <v>16</v>
      </c>
      <c r="M363" s="10">
        <f t="shared" si="46"/>
        <v>0.67777777777777781</v>
      </c>
      <c r="N363" s="12">
        <f t="shared" si="47"/>
        <v>8.9333333333333336</v>
      </c>
    </row>
    <row r="364" spans="1:14">
      <c r="A364" s="2">
        <f t="shared" si="41"/>
        <v>373</v>
      </c>
      <c r="B364" s="2">
        <v>363</v>
      </c>
      <c r="C364" s="13">
        <v>40906</v>
      </c>
      <c r="D364" s="14">
        <v>41271</v>
      </c>
      <c r="E364" s="2">
        <v>720</v>
      </c>
      <c r="F364" s="2">
        <v>1617</v>
      </c>
      <c r="G364" s="2">
        <v>0</v>
      </c>
      <c r="H364" s="2">
        <f t="shared" si="42"/>
        <v>7</v>
      </c>
      <c r="I364" s="2" t="str">
        <f t="shared" si="40"/>
        <v>20</v>
      </c>
      <c r="J364" s="10">
        <f t="shared" si="43"/>
        <v>0.30555555555555558</v>
      </c>
      <c r="K364" s="2">
        <f t="shared" si="44"/>
        <v>16</v>
      </c>
      <c r="L364">
        <f t="shared" si="45"/>
        <v>17</v>
      </c>
      <c r="M364" s="10">
        <f t="shared" si="46"/>
        <v>0.67847222222222225</v>
      </c>
      <c r="N364" s="12">
        <f t="shared" si="47"/>
        <v>8.9499999999999993</v>
      </c>
    </row>
    <row r="365" spans="1:14">
      <c r="A365" s="2">
        <f t="shared" si="41"/>
        <v>374</v>
      </c>
      <c r="B365" s="2">
        <v>364</v>
      </c>
      <c r="C365" s="13">
        <v>40907</v>
      </c>
      <c r="D365" s="14">
        <v>41272</v>
      </c>
      <c r="E365" s="2">
        <v>720</v>
      </c>
      <c r="F365" s="2">
        <v>1618</v>
      </c>
      <c r="G365" s="2">
        <v>0</v>
      </c>
      <c r="H365" s="2">
        <f t="shared" si="42"/>
        <v>7</v>
      </c>
      <c r="I365" s="2" t="str">
        <f t="shared" si="40"/>
        <v>20</v>
      </c>
      <c r="J365" s="10">
        <f t="shared" si="43"/>
        <v>0.30555555555555558</v>
      </c>
      <c r="K365" s="2">
        <f t="shared" si="44"/>
        <v>16</v>
      </c>
      <c r="L365">
        <f t="shared" si="45"/>
        <v>18</v>
      </c>
      <c r="M365" s="10">
        <f t="shared" si="46"/>
        <v>0.6791666666666667</v>
      </c>
      <c r="N365" s="12">
        <f t="shared" si="47"/>
        <v>8.9666666666666668</v>
      </c>
    </row>
    <row r="366" spans="1:14">
      <c r="A366" s="2">
        <f t="shared" si="41"/>
        <v>375</v>
      </c>
      <c r="B366" s="2">
        <v>365</v>
      </c>
      <c r="C366" s="13">
        <v>40908</v>
      </c>
      <c r="D366" s="14">
        <v>41273</v>
      </c>
      <c r="E366" s="2">
        <v>721</v>
      </c>
      <c r="F366" s="2">
        <v>1619</v>
      </c>
      <c r="G366" s="2">
        <v>0</v>
      </c>
      <c r="H366" s="2">
        <f t="shared" si="42"/>
        <v>7</v>
      </c>
      <c r="I366" s="2" t="str">
        <f t="shared" si="40"/>
        <v>21</v>
      </c>
      <c r="J366" s="10">
        <f t="shared" si="43"/>
        <v>0.30625000000000002</v>
      </c>
      <c r="K366" s="2">
        <f t="shared" si="44"/>
        <v>16</v>
      </c>
      <c r="L366">
        <f t="shared" si="45"/>
        <v>19</v>
      </c>
      <c r="M366" s="10">
        <f t="shared" si="46"/>
        <v>0.67986111111111114</v>
      </c>
      <c r="N366" s="12">
        <f t="shared" si="47"/>
        <v>8.9666666666666668</v>
      </c>
    </row>
    <row r="367" spans="1:14">
      <c r="A367" s="2">
        <f t="shared" si="41"/>
        <v>376</v>
      </c>
      <c r="B367" s="2">
        <v>366</v>
      </c>
      <c r="C367" s="13">
        <v>40909</v>
      </c>
      <c r="D367" s="14">
        <v>41274</v>
      </c>
      <c r="E367" s="2">
        <v>721</v>
      </c>
      <c r="F367" s="2">
        <v>1620</v>
      </c>
      <c r="G367" s="2">
        <v>0</v>
      </c>
      <c r="H367" s="2">
        <f t="shared" si="42"/>
        <v>7</v>
      </c>
      <c r="I367" s="2" t="str">
        <f t="shared" si="40"/>
        <v>21</v>
      </c>
      <c r="J367" s="10">
        <f t="shared" si="43"/>
        <v>0.30625000000000002</v>
      </c>
      <c r="K367" s="2">
        <f t="shared" si="44"/>
        <v>16</v>
      </c>
      <c r="L367">
        <f t="shared" si="45"/>
        <v>20</v>
      </c>
      <c r="M367" s="10">
        <f t="shared" si="46"/>
        <v>0.68055555555555558</v>
      </c>
      <c r="N367" s="12">
        <f t="shared" si="47"/>
        <v>8.9833333333333343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21666A2D6FF341946B5FA3182AA785" ma:contentTypeVersion="2" ma:contentTypeDescription="Create a new document." ma:contentTypeScope="" ma:versionID="e200f953ec2a080a454dab7ec4acabfd">
  <xsd:schema xmlns:xsd="http://www.w3.org/2001/XMLSchema" xmlns:xs="http://www.w3.org/2001/XMLSchema" xmlns:p="http://schemas.microsoft.com/office/2006/metadata/properties" xmlns:ns3="bfddfb38-1d3f-437a-bb4c-5289a56dc885" targetNamespace="http://schemas.microsoft.com/office/2006/metadata/properties" ma:root="true" ma:fieldsID="5b83296e7c786176cc30aaef5398608b" ns3:_="">
    <xsd:import namespace="bfddfb38-1d3f-437a-bb4c-5289a56dc8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dfb38-1d3f-437a-bb4c-5289a56dc8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35E538-BB9A-4680-9323-A8E8E42D70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B1B182-D501-41FD-8C3B-92BAD1D1FD19}">
  <ds:schemaRefs>
    <ds:schemaRef ds:uri="http://purl.org/dc/terms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bfddfb38-1d3f-437a-bb4c-5289a56dc885"/>
  </ds:schemaRefs>
</ds:datastoreItem>
</file>

<file path=customXml/itemProps3.xml><?xml version="1.0" encoding="utf-8"?>
<ds:datastoreItem xmlns:ds="http://schemas.openxmlformats.org/officeDocument/2006/customXml" ds:itemID="{B132E310-63D8-4E9C-807E-61423F536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ddfb38-1d3f-437a-bb4c-5289a56dc8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raw.Plymouth</vt:lpstr>
      <vt:lpstr>calc.Plym</vt:lpstr>
      <vt:lpstr>daylength</vt:lpstr>
    </vt:vector>
  </TitlesOfParts>
  <Company>Dartmouth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MPA</dc:creator>
  <cp:lastModifiedBy>Pooja Panwar</cp:lastModifiedBy>
  <dcterms:created xsi:type="dcterms:W3CDTF">2010-03-12T05:50:15Z</dcterms:created>
  <dcterms:modified xsi:type="dcterms:W3CDTF">2024-12-31T18:26:10Z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0x010100BA21666A2D6FF341946B5FA3182AA785</vt:lpwstr>
  </property>
</Properties>
</file>